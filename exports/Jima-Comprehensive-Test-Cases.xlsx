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overage Summary" sheetId="2" state="visible" r:id="rId2"/>
    <sheet name="Test Cases" sheetId="3" state="visible" r:id="rId3"/>
    <sheet name="Role &amp; Access Matrix" sheetId="4" state="visible" r:id="rId4"/>
    <sheet name="Requirements Traceability" sheetId="5" state="visible" r:id="rId5"/>
    <sheet name="Test Data Plan" sheetId="6" state="visible" r:id="rId6"/>
    <sheet name="Defect Log" sheetId="7" state="visible" r:id="rId7"/>
    <sheet name="Daily Execution Summary" sheetId="8" state="visible" r:id="rId8"/>
    <sheet name="UAT Sign-off" sheetId="9" state="visible" r:id="rId9"/>
    <sheet name="Release Gate Checklist" sheetId="10" state="visible" r:id="rId10"/>
  </sheets>
  <definedNames>
    <definedName name="_xlnm._FilterDatabase" localSheetId="2" hidden="1">'Test Cases'!$A$1:$X$239</definedName>
    <definedName name="_xlnm.Print_Titles" localSheetId="2">'Test Cases'!$1:$1</definedName>
    <definedName name="_xlnm._FilterDatabase" localSheetId="3" hidden="1">'Role &amp; Access Matrix'!$A$4:$M$13</definedName>
    <definedName name="_xlnm._FilterDatabase" localSheetId="4" hidden="1">'Requirements Traceability'!$A$4:$F$54</definedName>
    <definedName name="_xlnm._FilterDatabase" localSheetId="5" hidden="1">'Test Data Plan'!$A$4:$I$16</definedName>
    <definedName name="_xlnm._FilterDatabase" localSheetId="8" hidden="1">'UAT Sign-off'!$A$4:$H$10</definedName>
    <definedName name="_xlnm._FilterDatabase" localSheetId="9" hidden="1">'Release Gate Checklist'!$A$4:$H$18</definedName>
  </definedNames>
  <calcPr calcId="124519" calcMode="auto" fullCalcOnLoad="1" forceFullCalc="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sz val="18"/>
    </font>
    <font>
      <i val="1"/>
      <color rgb="00735E50"/>
    </font>
    <font>
      <b val="1"/>
      <color rgb="00FFFFFF"/>
    </font>
  </fonts>
  <fills count="5">
    <fill>
      <patternFill/>
    </fill>
    <fill>
      <patternFill patternType="gray125"/>
    </fill>
    <fill>
      <patternFill patternType="solid">
        <fgColor rgb="00E8832A"/>
      </patternFill>
    </fill>
    <fill>
      <patternFill patternType="solid">
        <fgColor rgb="00F9EEDD"/>
      </patternFill>
    </fill>
    <fill>
      <patternFill patternType="solid">
        <fgColor rgb="001A2D2D"/>
      </patternFill>
    </fill>
  </fills>
  <borders count="2">
    <border>
      <left/>
      <right/>
      <top/>
      <bottom/>
      <diagonal/>
    </border>
    <border>
      <left style="thin">
        <color rgb="00D9C4A5"/>
      </left>
      <right style="thin">
        <color rgb="00D9C4A5"/>
      </right>
      <top style="thin">
        <color rgb="00D9C4A5"/>
      </top>
      <bottom style="thin">
        <color rgb="00D9C4A5"/>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xf>
    <xf numFmtId="0" fontId="2"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0" fillId="0" borderId="1" pivotButton="0" quotePrefix="0" xfId="0"/>
    <xf numFmtId="164" fontId="0" fillId="0" borderId="1" pivotButton="0" quotePrefix="0" xfId="0"/>
  </cellXfs>
  <cellStyles count="1">
    <cellStyle name="Normal" xfId="0" builtinId="0" hidden="0"/>
  </cellStyles>
  <dxfs count="3">
    <dxf>
      <fill>
        <patternFill patternType="solid">
          <fgColor rgb="00FECACA"/>
        </patternFill>
      </fill>
    </dxf>
    <dxf>
      <fill>
        <patternFill patternType="solid">
          <fgColor rgb="00DCFCE7"/>
        </patternFill>
      </fill>
    </dxf>
    <dxf>
      <fill>
        <patternFill patternType="solid">
          <f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JimaTestCases" displayName="JimaTestCases" ref="A1:X239" headerRowCount="1">
  <autoFilter ref="A1:X239"/>
  <tableColumns count="24">
    <tableColumn id="1" name="Test ID"/>
    <tableColumn id="2" name="Module"/>
    <tableColumn id="3" name="Requirement ID(s)"/>
    <tableColumn id="4" name="Title"/>
    <tableColumn id="5" name="Objective"/>
    <tableColumn id="6" name="Type"/>
    <tableColumn id="7" name="Priority"/>
    <tableColumn id="8" name="Risk"/>
    <tableColumn id="9" name="Preconditions"/>
    <tableColumn id="10" name="Test Data"/>
    <tableColumn id="11" name="Actor/Role"/>
    <tableColumn id="12" name="Branch/Restaurant Context"/>
    <tableColumn id="13" name="Numbered Steps"/>
    <tableColumn id="14" name="Expected Result"/>
    <tableColumn id="15" name="Cleanup/Reset"/>
    <tableColumn id="16" name="Automation Candidate"/>
    <tableColumn id="17" name="Evidence Required"/>
    <tableColumn id="18" name="Status"/>
    <tableColumn id="19" name="Actual Result"/>
    <tableColumn id="20" name="Defect ID"/>
    <tableColumn id="21" name="Tester"/>
    <tableColumn id="22" name="Execution Date"/>
    <tableColumn id="23" name="Environment"/>
    <tableColumn id="24" name="Notes"/>
  </tableColumns>
  <tableStyleInfo name="TableStyleMedium2" showFirstColumn="0" showLastColumn="0" showRowStripes="1"/>
</table>
</file>

<file path=xl/tables/table2.xml><?xml version="1.0" encoding="utf-8"?>
<table xmlns="http://schemas.openxmlformats.org/spreadsheetml/2006/main" id="2" name="DefectTable" displayName="DefectTable" ref="A1:O501" headerRowCount="1">
  <autoFilter ref="A1:O501"/>
  <tableColumns count="15">
    <tableColumn id="1" name="Defect ID"/>
    <tableColumn id="2" name="Linked Test ID"/>
    <tableColumn id="3" name="Severity"/>
    <tableColumn id="4" name="Priority"/>
    <tableColumn id="5" name="Status"/>
    <tableColumn id="6" name="Title"/>
    <tableColumn id="7" name="Environment / Build"/>
    <tableColumn id="8" name="Steps to Reproduce"/>
    <tableColumn id="9" name="Expected"/>
    <tableColumn id="10" name="Actual"/>
    <tableColumn id="11" name="Evidence Link"/>
    <tableColumn id="12" name="Owner"/>
    <tableColumn id="13" name="Target Fix"/>
    <tableColumn id="14" name="Retest Result"/>
    <tableColumn id="15"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7.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F12"/>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 width="12" customWidth="1" min="3" max="3"/>
    <col width="12" customWidth="1" min="4" max="4"/>
    <col width="12" customWidth="1" min="5" max="5"/>
    <col width="12" customWidth="1" min="6" max="6"/>
  </cols>
  <sheetData>
    <row r="1">
      <c r="A1" s="1" t="inlineStr">
        <is>
          <t>Jima — Comprehensive QA Workbook</t>
        </is>
      </c>
    </row>
    <row r="2">
      <c r="A2" s="2" t="inlineStr">
        <is>
          <t>Version 1.0 | August 30, 2026 | Idata Technologies | All cases are Planned / Not Yet Executed</t>
        </is>
      </c>
    </row>
    <row r="3"/>
    <row r="4">
      <c r="A4" s="3" t="inlineStr">
        <is>
          <t>Topic</t>
        </is>
      </c>
      <c r="B4" s="3" t="inlineStr">
        <is>
          <t>Instruction</t>
        </is>
      </c>
    </row>
    <row r="5">
      <c r="A5" s="4" t="inlineStr">
        <is>
          <t>Purpose</t>
        </is>
      </c>
      <c r="B5" s="4" t="inlineStr">
        <is>
          <t>Executable record for formal QA handoff. The HTML/PDF is the governing strategy; this workbook records execution.</t>
        </is>
      </c>
      <c r="C5" s="4" t="n"/>
      <c r="D5" s="4" t="n"/>
      <c r="E5" s="4" t="n"/>
      <c r="F5" s="4" t="n"/>
    </row>
    <row r="6">
      <c r="A6" s="4" t="inlineStr">
        <is>
          <t>Status rule</t>
        </is>
      </c>
      <c r="B6" s="4" t="inlineStr">
        <is>
          <t>Do not mark Passed without evidence. Initial status is Planned / Not Yet Executed. Actual Result, Tester, Execution Date and Environment must be completed on execution.</t>
        </is>
      </c>
      <c r="C6" s="4" t="n"/>
      <c r="D6" s="4" t="n"/>
      <c r="E6" s="4" t="n"/>
      <c r="F6" s="4" t="n"/>
    </row>
    <row r="7">
      <c r="A7" s="4" t="inlineStr">
        <is>
          <t>Execution</t>
        </is>
      </c>
      <c r="B7" s="4" t="inlineStr">
        <is>
          <t>Filter by cycle, module, priority, actor and status. Verify preconditions, use synthetic data, execute numbered steps, compare expected, capture evidence, reset safely.</t>
        </is>
      </c>
      <c r="C7" s="4" t="n"/>
      <c r="D7" s="4" t="n"/>
      <c r="E7" s="4" t="n"/>
      <c r="F7" s="4" t="n"/>
    </row>
    <row r="8">
      <c r="A8" s="4" t="inlineStr">
        <is>
          <t>Evidence</t>
        </is>
      </c>
      <c r="B8" s="4" t="inlineStr">
        <is>
          <t>Store links or controlled repository references. Redact JWTs, passwords, secret values, database URLs, real PII, stack traces and signed backup URLs.</t>
        </is>
      </c>
      <c r="C8" s="4" t="n"/>
      <c r="D8" s="4" t="n"/>
      <c r="E8" s="4" t="n"/>
      <c r="F8" s="4" t="n"/>
    </row>
    <row r="9">
      <c r="A9" s="4" t="inlineStr">
        <is>
          <t>Defects</t>
        </is>
      </c>
      <c r="B9" s="4" t="inlineStr">
        <is>
          <t>Log every mismatch in Defect Log and place its ID in Test Cases. Retest the fix and perform risk-based regression.</t>
        </is>
      </c>
      <c r="C9" s="4" t="n"/>
      <c r="D9" s="4" t="n"/>
      <c r="E9" s="4" t="n"/>
      <c r="F9" s="4" t="n"/>
    </row>
    <row r="10">
      <c r="A10" s="4" t="inlineStr">
        <is>
          <t>Release</t>
        </is>
      </c>
      <c r="B10" s="4" t="inlineStr">
        <is>
          <t>Production deployment is blocked until mandatory cases pass and no unresolved Critical or High defect remains.</t>
        </is>
      </c>
      <c r="C10" s="4" t="n"/>
      <c r="D10" s="4" t="n"/>
      <c r="E10" s="4" t="n"/>
      <c r="F10" s="4" t="n"/>
    </row>
    <row r="11">
      <c r="A11" s="4" t="inlineStr">
        <is>
          <t>Formulas</t>
        </is>
      </c>
      <c r="B11" s="4" t="inlineStr">
        <is>
          <t>Coverage Summary and Daily Execution Summary contain formulas. Spreadsheet software recalculates them on open; do not replace formulas with typed totals.</t>
        </is>
      </c>
      <c r="C11" s="4" t="n"/>
      <c r="D11" s="4" t="n"/>
      <c r="E11" s="4" t="n"/>
      <c r="F11" s="4" t="n"/>
    </row>
    <row r="12">
      <c r="A12" s="4" t="inlineStr">
        <is>
          <t>Data safety</t>
        </is>
      </c>
      <c r="B12" s="4" t="inlineStr">
        <is>
          <t>Use Test Data Plan only. Never run destructive security checks or seed/synchronize a production database.</t>
        </is>
      </c>
      <c r="C12" s="4" t="n"/>
      <c r="D12" s="4" t="n"/>
      <c r="E12" s="4" t="n"/>
      <c r="F12" s="4" t="n"/>
    </row>
  </sheetData>
  <mergeCells count="2">
    <mergeCell ref="A2:F2"/>
    <mergeCell ref="A1:F1"/>
  </mergeCells>
  <pageMargins left="0.3" right="0.3" top="0.5" bottom="0.5" header="0.2" footer="0.2"/>
  <pageSetup orientation="landscape" fitToHeight="0" fitToWidth="1"/>
  <headerFooter>
    <oddHeader/>
    <oddFooter>&amp;CJima — CARAVAN Lounge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38"/>
  <sheetViews>
    <sheetView showGridLines="0" workbookViewId="0">
      <pane ySplit="4" topLeftCell="A5" activePane="bottomLeft" state="frozen"/>
      <selection pane="bottomLeft" activeCell="A1" sqref="A1"/>
    </sheetView>
  </sheetViews>
  <sheetFormatPr baseColWidth="8" defaultRowHeight="15"/>
  <cols>
    <col width="34" customWidth="1" min="1" max="1"/>
    <col width="15" customWidth="1" min="2" max="2"/>
    <col width="12" customWidth="1" min="3" max="3"/>
    <col width="12" customWidth="1" min="4" max="4"/>
    <col width="12" customWidth="1" min="5" max="5"/>
    <col width="12" customWidth="1" min="6" max="6"/>
    <col width="12" customWidth="1" min="7" max="7"/>
    <col width="12" customWidth="1" min="8" max="8"/>
    <col width="16" customWidth="1" min="9" max="9"/>
    <col width="12" customWidth="1" min="10" max="10"/>
  </cols>
  <sheetData>
    <row r="1">
      <c r="A1" s="1" t="inlineStr">
        <is>
          <t>Coverage Summary</t>
        </is>
      </c>
    </row>
    <row r="2">
      <c r="A2" s="2" t="inlineStr">
        <is>
          <t>Formula-based counts; open in Excel/LibreOffice to calculate current execution metrics.</t>
        </is>
      </c>
    </row>
    <row r="3"/>
    <row r="4">
      <c r="A4" s="3" t="inlineStr">
        <is>
          <t>Module</t>
        </is>
      </c>
      <c r="B4" s="3" t="inlineStr">
        <is>
          <t>Total</t>
        </is>
      </c>
      <c r="C4" s="3" t="inlineStr">
        <is>
          <t>Critical</t>
        </is>
      </c>
      <c r="D4" s="3" t="inlineStr">
        <is>
          <t>High</t>
        </is>
      </c>
      <c r="E4" s="3" t="inlineStr">
        <is>
          <t>Medium</t>
        </is>
      </c>
      <c r="F4" s="3" t="inlineStr">
        <is>
          <t>Passed</t>
        </is>
      </c>
      <c r="G4" s="3" t="inlineStr">
        <is>
          <t>Failed</t>
        </is>
      </c>
      <c r="H4" s="3" t="inlineStr">
        <is>
          <t>Blocked</t>
        </is>
      </c>
      <c r="I4" s="3" t="inlineStr">
        <is>
          <t>Not Executed</t>
        </is>
      </c>
      <c r="J4" s="3" t="inlineStr">
        <is>
          <t>Pass %</t>
        </is>
      </c>
    </row>
    <row r="5">
      <c r="A5" s="5" t="inlineStr">
        <is>
          <t>Environment &amp; Build</t>
        </is>
      </c>
      <c r="B5" s="5">
        <f>COUNTIF('Test Cases'!$B:$B,A5)</f>
        <v/>
      </c>
      <c r="C5" s="5">
        <f>COUNTIFS('Test Cases'!$B:$B,A5,'Test Cases'!$G:$G,"Critical")</f>
        <v/>
      </c>
      <c r="D5" s="5">
        <f>COUNTIFS('Test Cases'!$B:$B,A5,'Test Cases'!$G:$G,"High")</f>
        <v/>
      </c>
      <c r="E5" s="5">
        <f>COUNTIFS('Test Cases'!$B:$B,A5,'Test Cases'!$G:$G,"Medium")</f>
        <v/>
      </c>
      <c r="F5" s="5">
        <f>COUNTIFS('Test Cases'!$B:$B,A5,'Test Cases'!$R:$R,"Passed")</f>
        <v/>
      </c>
      <c r="G5" s="5">
        <f>COUNTIFS('Test Cases'!$B:$B,A5,'Test Cases'!$R:$R,"Failed")</f>
        <v/>
      </c>
      <c r="H5" s="5">
        <f>COUNTIFS('Test Cases'!$B:$B,A5,'Test Cases'!$R:$R,"Blocked")</f>
        <v/>
      </c>
      <c r="I5" s="5">
        <f>COUNTIFS('Test Cases'!$B:$B,A5,'Test Cases'!$R:$R,"Planned / Not Yet Executed")+COUNTIFS('Test Cases'!$B:$B,A5,'Test Cases'!$R:$R,"Not Run")</f>
        <v/>
      </c>
      <c r="J5" s="6">
        <f>IFERROR(F5/B5,0)</f>
        <v/>
      </c>
    </row>
    <row r="6">
      <c r="A6" s="5" t="inlineStr">
        <is>
          <t>Authentication &amp; Session</t>
        </is>
      </c>
      <c r="B6" s="5">
        <f>COUNTIF('Test Cases'!$B:$B,A6)</f>
        <v/>
      </c>
      <c r="C6" s="5">
        <f>COUNTIFS('Test Cases'!$B:$B,A6,'Test Cases'!$G:$G,"Critical")</f>
        <v/>
      </c>
      <c r="D6" s="5">
        <f>COUNTIFS('Test Cases'!$B:$B,A6,'Test Cases'!$G:$G,"High")</f>
        <v/>
      </c>
      <c r="E6" s="5">
        <f>COUNTIFS('Test Cases'!$B:$B,A6,'Test Cases'!$G:$G,"Medium")</f>
        <v/>
      </c>
      <c r="F6" s="5">
        <f>COUNTIFS('Test Cases'!$B:$B,A6,'Test Cases'!$R:$R,"Passed")</f>
        <v/>
      </c>
      <c r="G6" s="5">
        <f>COUNTIFS('Test Cases'!$B:$B,A6,'Test Cases'!$R:$R,"Failed")</f>
        <v/>
      </c>
      <c r="H6" s="5">
        <f>COUNTIFS('Test Cases'!$B:$B,A6,'Test Cases'!$R:$R,"Blocked")</f>
        <v/>
      </c>
      <c r="I6" s="5">
        <f>COUNTIFS('Test Cases'!$B:$B,A6,'Test Cases'!$R:$R,"Planned / Not Yet Executed")+COUNTIFS('Test Cases'!$B:$B,A6,'Test Cases'!$R:$R,"Not Run")</f>
        <v/>
      </c>
      <c r="J6" s="6">
        <f>IFERROR(F6/B6,0)</f>
        <v/>
      </c>
    </row>
    <row r="7">
      <c r="A7" s="5" t="inlineStr">
        <is>
          <t>Role &amp; Access Control</t>
        </is>
      </c>
      <c r="B7" s="5">
        <f>COUNTIF('Test Cases'!$B:$B,A7)</f>
        <v/>
      </c>
      <c r="C7" s="5">
        <f>COUNTIFS('Test Cases'!$B:$B,A7,'Test Cases'!$G:$G,"Critical")</f>
        <v/>
      </c>
      <c r="D7" s="5">
        <f>COUNTIFS('Test Cases'!$B:$B,A7,'Test Cases'!$G:$G,"High")</f>
        <v/>
      </c>
      <c r="E7" s="5">
        <f>COUNTIFS('Test Cases'!$B:$B,A7,'Test Cases'!$G:$G,"Medium")</f>
        <v/>
      </c>
      <c r="F7" s="5">
        <f>COUNTIFS('Test Cases'!$B:$B,A7,'Test Cases'!$R:$R,"Passed")</f>
        <v/>
      </c>
      <c r="G7" s="5">
        <f>COUNTIFS('Test Cases'!$B:$B,A7,'Test Cases'!$R:$R,"Failed")</f>
        <v/>
      </c>
      <c r="H7" s="5">
        <f>COUNTIFS('Test Cases'!$B:$B,A7,'Test Cases'!$R:$R,"Blocked")</f>
        <v/>
      </c>
      <c r="I7" s="5">
        <f>COUNTIFS('Test Cases'!$B:$B,A7,'Test Cases'!$R:$R,"Planned / Not Yet Executed")+COUNTIFS('Test Cases'!$B:$B,A7,'Test Cases'!$R:$R,"Not Run")</f>
        <v/>
      </c>
      <c r="J7" s="6">
        <f>IFERROR(F7/B7,0)</f>
        <v/>
      </c>
    </row>
    <row r="8">
      <c r="A8" s="5" t="inlineStr">
        <is>
          <t>Restaurant &amp; Branch Isolation</t>
        </is>
      </c>
      <c r="B8" s="5">
        <f>COUNTIF('Test Cases'!$B:$B,A8)</f>
        <v/>
      </c>
      <c r="C8" s="5">
        <f>COUNTIFS('Test Cases'!$B:$B,A8,'Test Cases'!$G:$G,"Critical")</f>
        <v/>
      </c>
      <c r="D8" s="5">
        <f>COUNTIFS('Test Cases'!$B:$B,A8,'Test Cases'!$G:$G,"High")</f>
        <v/>
      </c>
      <c r="E8" s="5">
        <f>COUNTIFS('Test Cases'!$B:$B,A8,'Test Cases'!$G:$G,"Medium")</f>
        <v/>
      </c>
      <c r="F8" s="5">
        <f>COUNTIFS('Test Cases'!$B:$B,A8,'Test Cases'!$R:$R,"Passed")</f>
        <v/>
      </c>
      <c r="G8" s="5">
        <f>COUNTIFS('Test Cases'!$B:$B,A8,'Test Cases'!$R:$R,"Failed")</f>
        <v/>
      </c>
      <c r="H8" s="5">
        <f>COUNTIFS('Test Cases'!$B:$B,A8,'Test Cases'!$R:$R,"Blocked")</f>
        <v/>
      </c>
      <c r="I8" s="5">
        <f>COUNTIFS('Test Cases'!$B:$B,A8,'Test Cases'!$R:$R,"Planned / Not Yet Executed")+COUNTIFS('Test Cases'!$B:$B,A8,'Test Cases'!$R:$R,"Not Run")</f>
        <v/>
      </c>
      <c r="J8" s="6">
        <f>IFERROR(F8/B8,0)</f>
        <v/>
      </c>
    </row>
    <row r="9">
      <c r="A9" s="5" t="inlineStr">
        <is>
          <t>Dashboard</t>
        </is>
      </c>
      <c r="B9" s="5">
        <f>COUNTIF('Test Cases'!$B:$B,A9)</f>
        <v/>
      </c>
      <c r="C9" s="5">
        <f>COUNTIFS('Test Cases'!$B:$B,A9,'Test Cases'!$G:$G,"Critical")</f>
        <v/>
      </c>
      <c r="D9" s="5">
        <f>COUNTIFS('Test Cases'!$B:$B,A9,'Test Cases'!$G:$G,"High")</f>
        <v/>
      </c>
      <c r="E9" s="5">
        <f>COUNTIFS('Test Cases'!$B:$B,A9,'Test Cases'!$G:$G,"Medium")</f>
        <v/>
      </c>
      <c r="F9" s="5">
        <f>COUNTIFS('Test Cases'!$B:$B,A9,'Test Cases'!$R:$R,"Passed")</f>
        <v/>
      </c>
      <c r="G9" s="5">
        <f>COUNTIFS('Test Cases'!$B:$B,A9,'Test Cases'!$R:$R,"Failed")</f>
        <v/>
      </c>
      <c r="H9" s="5">
        <f>COUNTIFS('Test Cases'!$B:$B,A9,'Test Cases'!$R:$R,"Blocked")</f>
        <v/>
      </c>
      <c r="I9" s="5">
        <f>COUNTIFS('Test Cases'!$B:$B,A9,'Test Cases'!$R:$R,"Planned / Not Yet Executed")+COUNTIFS('Test Cases'!$B:$B,A9,'Test Cases'!$R:$R,"Not Run")</f>
        <v/>
      </c>
      <c r="J9" s="6">
        <f>IFERROR(F9/B9,0)</f>
        <v/>
      </c>
    </row>
    <row r="10">
      <c r="A10" s="5" t="inlineStr">
        <is>
          <t>Orders &amp; POS</t>
        </is>
      </c>
      <c r="B10" s="5">
        <f>COUNTIF('Test Cases'!$B:$B,A10)</f>
        <v/>
      </c>
      <c r="C10" s="5">
        <f>COUNTIFS('Test Cases'!$B:$B,A10,'Test Cases'!$G:$G,"Critical")</f>
        <v/>
      </c>
      <c r="D10" s="5">
        <f>COUNTIFS('Test Cases'!$B:$B,A10,'Test Cases'!$G:$G,"High")</f>
        <v/>
      </c>
      <c r="E10" s="5">
        <f>COUNTIFS('Test Cases'!$B:$B,A10,'Test Cases'!$G:$G,"Medium")</f>
        <v/>
      </c>
      <c r="F10" s="5">
        <f>COUNTIFS('Test Cases'!$B:$B,A10,'Test Cases'!$R:$R,"Passed")</f>
        <v/>
      </c>
      <c r="G10" s="5">
        <f>COUNTIFS('Test Cases'!$B:$B,A10,'Test Cases'!$R:$R,"Failed")</f>
        <v/>
      </c>
      <c r="H10" s="5">
        <f>COUNTIFS('Test Cases'!$B:$B,A10,'Test Cases'!$R:$R,"Blocked")</f>
        <v/>
      </c>
      <c r="I10" s="5">
        <f>COUNTIFS('Test Cases'!$B:$B,A10,'Test Cases'!$R:$R,"Planned / Not Yet Executed")+COUNTIFS('Test Cases'!$B:$B,A10,'Test Cases'!$R:$R,"Not Run")</f>
        <v/>
      </c>
      <c r="J10" s="6">
        <f>IFERROR(F10/B10,0)</f>
        <v/>
      </c>
    </row>
    <row r="11">
      <c r="A11" s="5" t="inlineStr">
        <is>
          <t>Coordinator &amp; Kitchen</t>
        </is>
      </c>
      <c r="B11" s="5">
        <f>COUNTIF('Test Cases'!$B:$B,A11)</f>
        <v/>
      </c>
      <c r="C11" s="5">
        <f>COUNTIFS('Test Cases'!$B:$B,A11,'Test Cases'!$G:$G,"Critical")</f>
        <v/>
      </c>
      <c r="D11" s="5">
        <f>COUNTIFS('Test Cases'!$B:$B,A11,'Test Cases'!$G:$G,"High")</f>
        <v/>
      </c>
      <c r="E11" s="5">
        <f>COUNTIFS('Test Cases'!$B:$B,A11,'Test Cases'!$G:$G,"Medium")</f>
        <v/>
      </c>
      <c r="F11" s="5">
        <f>COUNTIFS('Test Cases'!$B:$B,A11,'Test Cases'!$R:$R,"Passed")</f>
        <v/>
      </c>
      <c r="G11" s="5">
        <f>COUNTIFS('Test Cases'!$B:$B,A11,'Test Cases'!$R:$R,"Failed")</f>
        <v/>
      </c>
      <c r="H11" s="5">
        <f>COUNTIFS('Test Cases'!$B:$B,A11,'Test Cases'!$R:$R,"Blocked")</f>
        <v/>
      </c>
      <c r="I11" s="5">
        <f>COUNTIFS('Test Cases'!$B:$B,A11,'Test Cases'!$R:$R,"Planned / Not Yet Executed")+COUNTIFS('Test Cases'!$B:$B,A11,'Test Cases'!$R:$R,"Not Run")</f>
        <v/>
      </c>
      <c r="J11" s="6">
        <f>IFERROR(F11/B11,0)</f>
        <v/>
      </c>
    </row>
    <row r="12">
      <c r="A12" s="5" t="inlineStr">
        <is>
          <t>Payments &amp; Shifts</t>
        </is>
      </c>
      <c r="B12" s="5">
        <f>COUNTIF('Test Cases'!$B:$B,A12)</f>
        <v/>
      </c>
      <c r="C12" s="5">
        <f>COUNTIFS('Test Cases'!$B:$B,A12,'Test Cases'!$G:$G,"Critical")</f>
        <v/>
      </c>
      <c r="D12" s="5">
        <f>COUNTIFS('Test Cases'!$B:$B,A12,'Test Cases'!$G:$G,"High")</f>
        <v/>
      </c>
      <c r="E12" s="5">
        <f>COUNTIFS('Test Cases'!$B:$B,A12,'Test Cases'!$G:$G,"Medium")</f>
        <v/>
      </c>
      <c r="F12" s="5">
        <f>COUNTIFS('Test Cases'!$B:$B,A12,'Test Cases'!$R:$R,"Passed")</f>
        <v/>
      </c>
      <c r="G12" s="5">
        <f>COUNTIFS('Test Cases'!$B:$B,A12,'Test Cases'!$R:$R,"Failed")</f>
        <v/>
      </c>
      <c r="H12" s="5">
        <f>COUNTIFS('Test Cases'!$B:$B,A12,'Test Cases'!$R:$R,"Blocked")</f>
        <v/>
      </c>
      <c r="I12" s="5">
        <f>COUNTIFS('Test Cases'!$B:$B,A12,'Test Cases'!$R:$R,"Planned / Not Yet Executed")+COUNTIFS('Test Cases'!$B:$B,A12,'Test Cases'!$R:$R,"Not Run")</f>
        <v/>
      </c>
      <c r="J12" s="6">
        <f>IFERROR(F12/B12,0)</f>
        <v/>
      </c>
    </row>
    <row r="13">
      <c r="A13" s="5" t="inlineStr">
        <is>
          <t>Menu &amp; Categories</t>
        </is>
      </c>
      <c r="B13" s="5">
        <f>COUNTIF('Test Cases'!$B:$B,A13)</f>
        <v/>
      </c>
      <c r="C13" s="5">
        <f>COUNTIFS('Test Cases'!$B:$B,A13,'Test Cases'!$G:$G,"Critical")</f>
        <v/>
      </c>
      <c r="D13" s="5">
        <f>COUNTIFS('Test Cases'!$B:$B,A13,'Test Cases'!$G:$G,"High")</f>
        <v/>
      </c>
      <c r="E13" s="5">
        <f>COUNTIFS('Test Cases'!$B:$B,A13,'Test Cases'!$G:$G,"Medium")</f>
        <v/>
      </c>
      <c r="F13" s="5">
        <f>COUNTIFS('Test Cases'!$B:$B,A13,'Test Cases'!$R:$R,"Passed")</f>
        <v/>
      </c>
      <c r="G13" s="5">
        <f>COUNTIFS('Test Cases'!$B:$B,A13,'Test Cases'!$R:$R,"Failed")</f>
        <v/>
      </c>
      <c r="H13" s="5">
        <f>COUNTIFS('Test Cases'!$B:$B,A13,'Test Cases'!$R:$R,"Blocked")</f>
        <v/>
      </c>
      <c r="I13" s="5">
        <f>COUNTIFS('Test Cases'!$B:$B,A13,'Test Cases'!$R:$R,"Planned / Not Yet Executed")+COUNTIFS('Test Cases'!$B:$B,A13,'Test Cases'!$R:$R,"Not Run")</f>
        <v/>
      </c>
      <c r="J13" s="6">
        <f>IFERROR(F13/B13,0)</f>
        <v/>
      </c>
    </row>
    <row r="14">
      <c r="A14" s="5" t="inlineStr">
        <is>
          <t>Tables</t>
        </is>
      </c>
      <c r="B14" s="5">
        <f>COUNTIF('Test Cases'!$B:$B,A14)</f>
        <v/>
      </c>
      <c r="C14" s="5">
        <f>COUNTIFS('Test Cases'!$B:$B,A14,'Test Cases'!$G:$G,"Critical")</f>
        <v/>
      </c>
      <c r="D14" s="5">
        <f>COUNTIFS('Test Cases'!$B:$B,A14,'Test Cases'!$G:$G,"High")</f>
        <v/>
      </c>
      <c r="E14" s="5">
        <f>COUNTIFS('Test Cases'!$B:$B,A14,'Test Cases'!$G:$G,"Medium")</f>
        <v/>
      </c>
      <c r="F14" s="5">
        <f>COUNTIFS('Test Cases'!$B:$B,A14,'Test Cases'!$R:$R,"Passed")</f>
        <v/>
      </c>
      <c r="G14" s="5">
        <f>COUNTIFS('Test Cases'!$B:$B,A14,'Test Cases'!$R:$R,"Failed")</f>
        <v/>
      </c>
      <c r="H14" s="5">
        <f>COUNTIFS('Test Cases'!$B:$B,A14,'Test Cases'!$R:$R,"Blocked")</f>
        <v/>
      </c>
      <c r="I14" s="5">
        <f>COUNTIFS('Test Cases'!$B:$B,A14,'Test Cases'!$R:$R,"Planned / Not Yet Executed")+COUNTIFS('Test Cases'!$B:$B,A14,'Test Cases'!$R:$R,"Not Run")</f>
        <v/>
      </c>
      <c r="J14" s="6">
        <f>IFERROR(F14/B14,0)</f>
        <v/>
      </c>
    </row>
    <row r="15">
      <c r="A15" s="5" t="inlineStr">
        <is>
          <t>Staff &amp; Branches</t>
        </is>
      </c>
      <c r="B15" s="5">
        <f>COUNTIF('Test Cases'!$B:$B,A15)</f>
        <v/>
      </c>
      <c r="C15" s="5">
        <f>COUNTIFS('Test Cases'!$B:$B,A15,'Test Cases'!$G:$G,"Critical")</f>
        <v/>
      </c>
      <c r="D15" s="5">
        <f>COUNTIFS('Test Cases'!$B:$B,A15,'Test Cases'!$G:$G,"High")</f>
        <v/>
      </c>
      <c r="E15" s="5">
        <f>COUNTIFS('Test Cases'!$B:$B,A15,'Test Cases'!$G:$G,"Medium")</f>
        <v/>
      </c>
      <c r="F15" s="5">
        <f>COUNTIFS('Test Cases'!$B:$B,A15,'Test Cases'!$R:$R,"Passed")</f>
        <v/>
      </c>
      <c r="G15" s="5">
        <f>COUNTIFS('Test Cases'!$B:$B,A15,'Test Cases'!$R:$R,"Failed")</f>
        <v/>
      </c>
      <c r="H15" s="5">
        <f>COUNTIFS('Test Cases'!$B:$B,A15,'Test Cases'!$R:$R,"Blocked")</f>
        <v/>
      </c>
      <c r="I15" s="5">
        <f>COUNTIFS('Test Cases'!$B:$B,A15,'Test Cases'!$R:$R,"Planned / Not Yet Executed")+COUNTIFS('Test Cases'!$B:$B,A15,'Test Cases'!$R:$R,"Not Run")</f>
        <v/>
      </c>
      <c r="J15" s="6">
        <f>IFERROR(F15/B15,0)</f>
        <v/>
      </c>
    </row>
    <row r="16">
      <c r="A16" s="5" t="inlineStr">
        <is>
          <t>Branch Inventory &amp; Procurement</t>
        </is>
      </c>
      <c r="B16" s="5">
        <f>COUNTIF('Test Cases'!$B:$B,A16)</f>
        <v/>
      </c>
      <c r="C16" s="5">
        <f>COUNTIFS('Test Cases'!$B:$B,A16,'Test Cases'!$G:$G,"Critical")</f>
        <v/>
      </c>
      <c r="D16" s="5">
        <f>COUNTIFS('Test Cases'!$B:$B,A16,'Test Cases'!$G:$G,"High")</f>
        <v/>
      </c>
      <c r="E16" s="5">
        <f>COUNTIFS('Test Cases'!$B:$B,A16,'Test Cases'!$G:$G,"Medium")</f>
        <v/>
      </c>
      <c r="F16" s="5">
        <f>COUNTIFS('Test Cases'!$B:$B,A16,'Test Cases'!$R:$R,"Passed")</f>
        <v/>
      </c>
      <c r="G16" s="5">
        <f>COUNTIFS('Test Cases'!$B:$B,A16,'Test Cases'!$R:$R,"Failed")</f>
        <v/>
      </c>
      <c r="H16" s="5">
        <f>COUNTIFS('Test Cases'!$B:$B,A16,'Test Cases'!$R:$R,"Blocked")</f>
        <v/>
      </c>
      <c r="I16" s="5">
        <f>COUNTIFS('Test Cases'!$B:$B,A16,'Test Cases'!$R:$R,"Planned / Not Yet Executed")+COUNTIFS('Test Cases'!$B:$B,A16,'Test Cases'!$R:$R,"Not Run")</f>
        <v/>
      </c>
      <c r="J16" s="6">
        <f>IFERROR(F16/B16,0)</f>
        <v/>
      </c>
    </row>
    <row r="17">
      <c r="A17" s="5" t="inlineStr">
        <is>
          <t>Legacy Item Requests</t>
        </is>
      </c>
      <c r="B17" s="5">
        <f>COUNTIF('Test Cases'!$B:$B,A17)</f>
        <v/>
      </c>
      <c r="C17" s="5">
        <f>COUNTIFS('Test Cases'!$B:$B,A17,'Test Cases'!$G:$G,"Critical")</f>
        <v/>
      </c>
      <c r="D17" s="5">
        <f>COUNTIFS('Test Cases'!$B:$B,A17,'Test Cases'!$G:$G,"High")</f>
        <v/>
      </c>
      <c r="E17" s="5">
        <f>COUNTIFS('Test Cases'!$B:$B,A17,'Test Cases'!$G:$G,"Medium")</f>
        <v/>
      </c>
      <c r="F17" s="5">
        <f>COUNTIFS('Test Cases'!$B:$B,A17,'Test Cases'!$R:$R,"Passed")</f>
        <v/>
      </c>
      <c r="G17" s="5">
        <f>COUNTIFS('Test Cases'!$B:$B,A17,'Test Cases'!$R:$R,"Failed")</f>
        <v/>
      </c>
      <c r="H17" s="5">
        <f>COUNTIFS('Test Cases'!$B:$B,A17,'Test Cases'!$R:$R,"Blocked")</f>
        <v/>
      </c>
      <c r="I17" s="5">
        <f>COUNTIFS('Test Cases'!$B:$B,A17,'Test Cases'!$R:$R,"Planned / Not Yet Executed")+COUNTIFS('Test Cases'!$B:$B,A17,'Test Cases'!$R:$R,"Not Run")</f>
        <v/>
      </c>
      <c r="J17" s="6">
        <f>IFERROR(F17/B17,0)</f>
        <v/>
      </c>
    </row>
    <row r="18">
      <c r="A18" s="5" t="inlineStr">
        <is>
          <t>Main Store &amp; Branch Stock Requests</t>
        </is>
      </c>
      <c r="B18" s="5">
        <f>COUNTIF('Test Cases'!$B:$B,A18)</f>
        <v/>
      </c>
      <c r="C18" s="5">
        <f>COUNTIFS('Test Cases'!$B:$B,A18,'Test Cases'!$G:$G,"Critical")</f>
        <v/>
      </c>
      <c r="D18" s="5">
        <f>COUNTIFS('Test Cases'!$B:$B,A18,'Test Cases'!$G:$G,"High")</f>
        <v/>
      </c>
      <c r="E18" s="5">
        <f>COUNTIFS('Test Cases'!$B:$B,A18,'Test Cases'!$G:$G,"Medium")</f>
        <v/>
      </c>
      <c r="F18" s="5">
        <f>COUNTIFS('Test Cases'!$B:$B,A18,'Test Cases'!$R:$R,"Passed")</f>
        <v/>
      </c>
      <c r="G18" s="5">
        <f>COUNTIFS('Test Cases'!$B:$B,A18,'Test Cases'!$R:$R,"Failed")</f>
        <v/>
      </c>
      <c r="H18" s="5">
        <f>COUNTIFS('Test Cases'!$B:$B,A18,'Test Cases'!$R:$R,"Blocked")</f>
        <v/>
      </c>
      <c r="I18" s="5">
        <f>COUNTIFS('Test Cases'!$B:$B,A18,'Test Cases'!$R:$R,"Planned / Not Yet Executed")+COUNTIFS('Test Cases'!$B:$B,A18,'Test Cases'!$R:$R,"Not Run")</f>
        <v/>
      </c>
      <c r="J18" s="6">
        <f>IFERROR(F18/B18,0)</f>
        <v/>
      </c>
    </row>
    <row r="19">
      <c r="A19" s="5" t="inlineStr">
        <is>
          <t>Notifications</t>
        </is>
      </c>
      <c r="B19" s="5">
        <f>COUNTIF('Test Cases'!$B:$B,A19)</f>
        <v/>
      </c>
      <c r="C19" s="5">
        <f>COUNTIFS('Test Cases'!$B:$B,A19,'Test Cases'!$G:$G,"Critical")</f>
        <v/>
      </c>
      <c r="D19" s="5">
        <f>COUNTIFS('Test Cases'!$B:$B,A19,'Test Cases'!$G:$G,"High")</f>
        <v/>
      </c>
      <c r="E19" s="5">
        <f>COUNTIFS('Test Cases'!$B:$B,A19,'Test Cases'!$G:$G,"Medium")</f>
        <v/>
      </c>
      <c r="F19" s="5">
        <f>COUNTIFS('Test Cases'!$B:$B,A19,'Test Cases'!$R:$R,"Passed")</f>
        <v/>
      </c>
      <c r="G19" s="5">
        <f>COUNTIFS('Test Cases'!$B:$B,A19,'Test Cases'!$R:$R,"Failed")</f>
        <v/>
      </c>
      <c r="H19" s="5">
        <f>COUNTIFS('Test Cases'!$B:$B,A19,'Test Cases'!$R:$R,"Blocked")</f>
        <v/>
      </c>
      <c r="I19" s="5">
        <f>COUNTIFS('Test Cases'!$B:$B,A19,'Test Cases'!$R:$R,"Planned / Not Yet Executed")+COUNTIFS('Test Cases'!$B:$B,A19,'Test Cases'!$R:$R,"Not Run")</f>
        <v/>
      </c>
      <c r="J19" s="6">
        <f>IFERROR(F19/B19,0)</f>
        <v/>
      </c>
    </row>
    <row r="20">
      <c r="A20" s="5" t="inlineStr">
        <is>
          <t>Reports &amp; Exports</t>
        </is>
      </c>
      <c r="B20" s="5">
        <f>COUNTIF('Test Cases'!$B:$B,A20)</f>
        <v/>
      </c>
      <c r="C20" s="5">
        <f>COUNTIFS('Test Cases'!$B:$B,A20,'Test Cases'!$G:$G,"Critical")</f>
        <v/>
      </c>
      <c r="D20" s="5">
        <f>COUNTIFS('Test Cases'!$B:$B,A20,'Test Cases'!$G:$G,"High")</f>
        <v/>
      </c>
      <c r="E20" s="5">
        <f>COUNTIFS('Test Cases'!$B:$B,A20,'Test Cases'!$G:$G,"Medium")</f>
        <v/>
      </c>
      <c r="F20" s="5">
        <f>COUNTIFS('Test Cases'!$B:$B,A20,'Test Cases'!$R:$R,"Passed")</f>
        <v/>
      </c>
      <c r="G20" s="5">
        <f>COUNTIFS('Test Cases'!$B:$B,A20,'Test Cases'!$R:$R,"Failed")</f>
        <v/>
      </c>
      <c r="H20" s="5">
        <f>COUNTIFS('Test Cases'!$B:$B,A20,'Test Cases'!$R:$R,"Blocked")</f>
        <v/>
      </c>
      <c r="I20" s="5">
        <f>COUNTIFS('Test Cases'!$B:$B,A20,'Test Cases'!$R:$R,"Planned / Not Yet Executed")+COUNTIFS('Test Cases'!$B:$B,A20,'Test Cases'!$R:$R,"Not Run")</f>
        <v/>
      </c>
      <c r="J20" s="6">
        <f>IFERROR(F20/B20,0)</f>
        <v/>
      </c>
    </row>
    <row r="21">
      <c r="A21" s="5" t="inlineStr">
        <is>
          <t>Daily Summaries</t>
        </is>
      </c>
      <c r="B21" s="5">
        <f>COUNTIF('Test Cases'!$B:$B,A21)</f>
        <v/>
      </c>
      <c r="C21" s="5">
        <f>COUNTIFS('Test Cases'!$B:$B,A21,'Test Cases'!$G:$G,"Critical")</f>
        <v/>
      </c>
      <c r="D21" s="5">
        <f>COUNTIFS('Test Cases'!$B:$B,A21,'Test Cases'!$G:$G,"High")</f>
        <v/>
      </c>
      <c r="E21" s="5">
        <f>COUNTIFS('Test Cases'!$B:$B,A21,'Test Cases'!$G:$G,"Medium")</f>
        <v/>
      </c>
      <c r="F21" s="5">
        <f>COUNTIFS('Test Cases'!$B:$B,A21,'Test Cases'!$R:$R,"Passed")</f>
        <v/>
      </c>
      <c r="G21" s="5">
        <f>COUNTIFS('Test Cases'!$B:$B,A21,'Test Cases'!$R:$R,"Failed")</f>
        <v/>
      </c>
      <c r="H21" s="5">
        <f>COUNTIFS('Test Cases'!$B:$B,A21,'Test Cases'!$R:$R,"Blocked")</f>
        <v/>
      </c>
      <c r="I21" s="5">
        <f>COUNTIFS('Test Cases'!$B:$B,A21,'Test Cases'!$R:$R,"Planned / Not Yet Executed")+COUNTIFS('Test Cases'!$B:$B,A21,'Test Cases'!$R:$R,"Not Run")</f>
        <v/>
      </c>
      <c r="J21" s="6">
        <f>IFERROR(F21/B21,0)</f>
        <v/>
      </c>
    </row>
    <row r="22">
      <c r="A22" s="5" t="inlineStr">
        <is>
          <t>Responsive Layout</t>
        </is>
      </c>
      <c r="B22" s="5">
        <f>COUNTIF('Test Cases'!$B:$B,A22)</f>
        <v/>
      </c>
      <c r="C22" s="5">
        <f>COUNTIFS('Test Cases'!$B:$B,A22,'Test Cases'!$G:$G,"Critical")</f>
        <v/>
      </c>
      <c r="D22" s="5">
        <f>COUNTIFS('Test Cases'!$B:$B,A22,'Test Cases'!$G:$G,"High")</f>
        <v/>
      </c>
      <c r="E22" s="5">
        <f>COUNTIFS('Test Cases'!$B:$B,A22,'Test Cases'!$G:$G,"Medium")</f>
        <v/>
      </c>
      <c r="F22" s="5">
        <f>COUNTIFS('Test Cases'!$B:$B,A22,'Test Cases'!$R:$R,"Passed")</f>
        <v/>
      </c>
      <c r="G22" s="5">
        <f>COUNTIFS('Test Cases'!$B:$B,A22,'Test Cases'!$R:$R,"Failed")</f>
        <v/>
      </c>
      <c r="H22" s="5">
        <f>COUNTIFS('Test Cases'!$B:$B,A22,'Test Cases'!$R:$R,"Blocked")</f>
        <v/>
      </c>
      <c r="I22" s="5">
        <f>COUNTIFS('Test Cases'!$B:$B,A22,'Test Cases'!$R:$R,"Planned / Not Yet Executed")+COUNTIFS('Test Cases'!$B:$B,A22,'Test Cases'!$R:$R,"Not Run")</f>
        <v/>
      </c>
      <c r="J22" s="6">
        <f>IFERROR(F22/B22,0)</f>
        <v/>
      </c>
    </row>
    <row r="23">
      <c r="A23" s="5" t="inlineStr">
        <is>
          <t>Accessibility</t>
        </is>
      </c>
      <c r="B23" s="5">
        <f>COUNTIF('Test Cases'!$B:$B,A23)</f>
        <v/>
      </c>
      <c r="C23" s="5">
        <f>COUNTIFS('Test Cases'!$B:$B,A23,'Test Cases'!$G:$G,"Critical")</f>
        <v/>
      </c>
      <c r="D23" s="5">
        <f>COUNTIFS('Test Cases'!$B:$B,A23,'Test Cases'!$G:$G,"High")</f>
        <v/>
      </c>
      <c r="E23" s="5">
        <f>COUNTIFS('Test Cases'!$B:$B,A23,'Test Cases'!$G:$G,"Medium")</f>
        <v/>
      </c>
      <c r="F23" s="5">
        <f>COUNTIFS('Test Cases'!$B:$B,A23,'Test Cases'!$R:$R,"Passed")</f>
        <v/>
      </c>
      <c r="G23" s="5">
        <f>COUNTIFS('Test Cases'!$B:$B,A23,'Test Cases'!$R:$R,"Failed")</f>
        <v/>
      </c>
      <c r="H23" s="5">
        <f>COUNTIFS('Test Cases'!$B:$B,A23,'Test Cases'!$R:$R,"Blocked")</f>
        <v/>
      </c>
      <c r="I23" s="5">
        <f>COUNTIFS('Test Cases'!$B:$B,A23,'Test Cases'!$R:$R,"Planned / Not Yet Executed")+COUNTIFS('Test Cases'!$B:$B,A23,'Test Cases'!$R:$R,"Not Run")</f>
        <v/>
      </c>
      <c r="J23" s="6">
        <f>IFERROR(F23/B23,0)</f>
        <v/>
      </c>
    </row>
    <row r="24">
      <c r="A24" s="5" t="inlineStr">
        <is>
          <t>Browser Compatibility</t>
        </is>
      </c>
      <c r="B24" s="5">
        <f>COUNTIF('Test Cases'!$B:$B,A24)</f>
        <v/>
      </c>
      <c r="C24" s="5">
        <f>COUNTIFS('Test Cases'!$B:$B,A24,'Test Cases'!$G:$G,"Critical")</f>
        <v/>
      </c>
      <c r="D24" s="5">
        <f>COUNTIFS('Test Cases'!$B:$B,A24,'Test Cases'!$G:$G,"High")</f>
        <v/>
      </c>
      <c r="E24" s="5">
        <f>COUNTIFS('Test Cases'!$B:$B,A24,'Test Cases'!$G:$G,"Medium")</f>
        <v/>
      </c>
      <c r="F24" s="5">
        <f>COUNTIFS('Test Cases'!$B:$B,A24,'Test Cases'!$R:$R,"Passed")</f>
        <v/>
      </c>
      <c r="G24" s="5">
        <f>COUNTIFS('Test Cases'!$B:$B,A24,'Test Cases'!$R:$R,"Failed")</f>
        <v/>
      </c>
      <c r="H24" s="5">
        <f>COUNTIFS('Test Cases'!$B:$B,A24,'Test Cases'!$R:$R,"Blocked")</f>
        <v/>
      </c>
      <c r="I24" s="5">
        <f>COUNTIFS('Test Cases'!$B:$B,A24,'Test Cases'!$R:$R,"Planned / Not Yet Executed")+COUNTIFS('Test Cases'!$B:$B,A24,'Test Cases'!$R:$R,"Not Run")</f>
        <v/>
      </c>
      <c r="J24" s="6">
        <f>IFERROR(F24/B24,0)</f>
        <v/>
      </c>
    </row>
    <row r="25">
      <c r="A25" s="5" t="inlineStr">
        <is>
          <t>API Contract</t>
        </is>
      </c>
      <c r="B25" s="5">
        <f>COUNTIF('Test Cases'!$B:$B,A25)</f>
        <v/>
      </c>
      <c r="C25" s="5">
        <f>COUNTIFS('Test Cases'!$B:$B,A25,'Test Cases'!$G:$G,"Critical")</f>
        <v/>
      </c>
      <c r="D25" s="5">
        <f>COUNTIFS('Test Cases'!$B:$B,A25,'Test Cases'!$G:$G,"High")</f>
        <v/>
      </c>
      <c r="E25" s="5">
        <f>COUNTIFS('Test Cases'!$B:$B,A25,'Test Cases'!$G:$G,"Medium")</f>
        <v/>
      </c>
      <c r="F25" s="5">
        <f>COUNTIFS('Test Cases'!$B:$B,A25,'Test Cases'!$R:$R,"Passed")</f>
        <v/>
      </c>
      <c r="G25" s="5">
        <f>COUNTIFS('Test Cases'!$B:$B,A25,'Test Cases'!$R:$R,"Failed")</f>
        <v/>
      </c>
      <c r="H25" s="5">
        <f>COUNTIFS('Test Cases'!$B:$B,A25,'Test Cases'!$R:$R,"Blocked")</f>
        <v/>
      </c>
      <c r="I25" s="5">
        <f>COUNTIFS('Test Cases'!$B:$B,A25,'Test Cases'!$R:$R,"Planned / Not Yet Executed")+COUNTIFS('Test Cases'!$B:$B,A25,'Test Cases'!$R:$R,"Not Run")</f>
        <v/>
      </c>
      <c r="J25" s="6">
        <f>IFERROR(F25/B25,0)</f>
        <v/>
      </c>
    </row>
    <row r="26">
      <c r="A26" s="5" t="inlineStr">
        <is>
          <t>Database Integrity</t>
        </is>
      </c>
      <c r="B26" s="5">
        <f>COUNTIF('Test Cases'!$B:$B,A26)</f>
        <v/>
      </c>
      <c r="C26" s="5">
        <f>COUNTIFS('Test Cases'!$B:$B,A26,'Test Cases'!$G:$G,"Critical")</f>
        <v/>
      </c>
      <c r="D26" s="5">
        <f>COUNTIFS('Test Cases'!$B:$B,A26,'Test Cases'!$G:$G,"High")</f>
        <v/>
      </c>
      <c r="E26" s="5">
        <f>COUNTIFS('Test Cases'!$B:$B,A26,'Test Cases'!$G:$G,"Medium")</f>
        <v/>
      </c>
      <c r="F26" s="5">
        <f>COUNTIFS('Test Cases'!$B:$B,A26,'Test Cases'!$R:$R,"Passed")</f>
        <v/>
      </c>
      <c r="G26" s="5">
        <f>COUNTIFS('Test Cases'!$B:$B,A26,'Test Cases'!$R:$R,"Failed")</f>
        <v/>
      </c>
      <c r="H26" s="5">
        <f>COUNTIFS('Test Cases'!$B:$B,A26,'Test Cases'!$R:$R,"Blocked")</f>
        <v/>
      </c>
      <c r="I26" s="5">
        <f>COUNTIFS('Test Cases'!$B:$B,A26,'Test Cases'!$R:$R,"Planned / Not Yet Executed")+COUNTIFS('Test Cases'!$B:$B,A26,'Test Cases'!$R:$R,"Not Run")</f>
        <v/>
      </c>
      <c r="J26" s="6">
        <f>IFERROR(F26/B26,0)</f>
        <v/>
      </c>
    </row>
    <row r="27">
      <c r="A27" s="5" t="inlineStr">
        <is>
          <t>Security &amp; Privacy</t>
        </is>
      </c>
      <c r="B27" s="5">
        <f>COUNTIF('Test Cases'!$B:$B,A27)</f>
        <v/>
      </c>
      <c r="C27" s="5">
        <f>COUNTIFS('Test Cases'!$B:$B,A27,'Test Cases'!$G:$G,"Critical")</f>
        <v/>
      </c>
      <c r="D27" s="5">
        <f>COUNTIFS('Test Cases'!$B:$B,A27,'Test Cases'!$G:$G,"High")</f>
        <v/>
      </c>
      <c r="E27" s="5">
        <f>COUNTIFS('Test Cases'!$B:$B,A27,'Test Cases'!$G:$G,"Medium")</f>
        <v/>
      </c>
      <c r="F27" s="5">
        <f>COUNTIFS('Test Cases'!$B:$B,A27,'Test Cases'!$R:$R,"Passed")</f>
        <v/>
      </c>
      <c r="G27" s="5">
        <f>COUNTIFS('Test Cases'!$B:$B,A27,'Test Cases'!$R:$R,"Failed")</f>
        <v/>
      </c>
      <c r="H27" s="5">
        <f>COUNTIFS('Test Cases'!$B:$B,A27,'Test Cases'!$R:$R,"Blocked")</f>
        <v/>
      </c>
      <c r="I27" s="5">
        <f>COUNTIFS('Test Cases'!$B:$B,A27,'Test Cases'!$R:$R,"Planned / Not Yet Executed")+COUNTIFS('Test Cases'!$B:$B,A27,'Test Cases'!$R:$R,"Not Run")</f>
        <v/>
      </c>
      <c r="J27" s="6">
        <f>IFERROR(F27/B27,0)</f>
        <v/>
      </c>
    </row>
    <row r="28">
      <c r="A28" s="5" t="inlineStr">
        <is>
          <t>Performance &amp; Load</t>
        </is>
      </c>
      <c r="B28" s="5">
        <f>COUNTIF('Test Cases'!$B:$B,A28)</f>
        <v/>
      </c>
      <c r="C28" s="5">
        <f>COUNTIFS('Test Cases'!$B:$B,A28,'Test Cases'!$G:$G,"Critical")</f>
        <v/>
      </c>
      <c r="D28" s="5">
        <f>COUNTIFS('Test Cases'!$B:$B,A28,'Test Cases'!$G:$G,"High")</f>
        <v/>
      </c>
      <c r="E28" s="5">
        <f>COUNTIFS('Test Cases'!$B:$B,A28,'Test Cases'!$G:$G,"Medium")</f>
        <v/>
      </c>
      <c r="F28" s="5">
        <f>COUNTIFS('Test Cases'!$B:$B,A28,'Test Cases'!$R:$R,"Passed")</f>
        <v/>
      </c>
      <c r="G28" s="5">
        <f>COUNTIFS('Test Cases'!$B:$B,A28,'Test Cases'!$R:$R,"Failed")</f>
        <v/>
      </c>
      <c r="H28" s="5">
        <f>COUNTIFS('Test Cases'!$B:$B,A28,'Test Cases'!$R:$R,"Blocked")</f>
        <v/>
      </c>
      <c r="I28" s="5">
        <f>COUNTIFS('Test Cases'!$B:$B,A28,'Test Cases'!$R:$R,"Planned / Not Yet Executed")+COUNTIFS('Test Cases'!$B:$B,A28,'Test Cases'!$R:$R,"Not Run")</f>
        <v/>
      </c>
      <c r="J28" s="6">
        <f>IFERROR(F28/B28,0)</f>
        <v/>
      </c>
    </row>
    <row r="29">
      <c r="A29" s="5" t="inlineStr">
        <is>
          <t>Backup Restore &amp; Rollback</t>
        </is>
      </c>
      <c r="B29" s="5">
        <f>COUNTIF('Test Cases'!$B:$B,A29)</f>
        <v/>
      </c>
      <c r="C29" s="5">
        <f>COUNTIFS('Test Cases'!$B:$B,A29,'Test Cases'!$G:$G,"Critical")</f>
        <v/>
      </c>
      <c r="D29" s="5">
        <f>COUNTIFS('Test Cases'!$B:$B,A29,'Test Cases'!$G:$G,"High")</f>
        <v/>
      </c>
      <c r="E29" s="5">
        <f>COUNTIFS('Test Cases'!$B:$B,A29,'Test Cases'!$G:$G,"Medium")</f>
        <v/>
      </c>
      <c r="F29" s="5">
        <f>COUNTIFS('Test Cases'!$B:$B,A29,'Test Cases'!$R:$R,"Passed")</f>
        <v/>
      </c>
      <c r="G29" s="5">
        <f>COUNTIFS('Test Cases'!$B:$B,A29,'Test Cases'!$R:$R,"Failed")</f>
        <v/>
      </c>
      <c r="H29" s="5">
        <f>COUNTIFS('Test Cases'!$B:$B,A29,'Test Cases'!$R:$R,"Blocked")</f>
        <v/>
      </c>
      <c r="I29" s="5">
        <f>COUNTIFS('Test Cases'!$B:$B,A29,'Test Cases'!$R:$R,"Planned / Not Yet Executed")+COUNTIFS('Test Cases'!$B:$B,A29,'Test Cases'!$R:$R,"Not Run")</f>
        <v/>
      </c>
      <c r="J29" s="6">
        <f>IFERROR(F29/B29,0)</f>
        <v/>
      </c>
    </row>
    <row r="30">
      <c r="A30" s="5" t="inlineStr">
        <is>
          <t>Deployment &amp; Smoke</t>
        </is>
      </c>
      <c r="B30" s="5">
        <f>COUNTIF('Test Cases'!$B:$B,A30)</f>
        <v/>
      </c>
      <c r="C30" s="5">
        <f>COUNTIFS('Test Cases'!$B:$B,A30,'Test Cases'!$G:$G,"Critical")</f>
        <v/>
      </c>
      <c r="D30" s="5">
        <f>COUNTIFS('Test Cases'!$B:$B,A30,'Test Cases'!$G:$G,"High")</f>
        <v/>
      </c>
      <c r="E30" s="5">
        <f>COUNTIFS('Test Cases'!$B:$B,A30,'Test Cases'!$G:$G,"Medium")</f>
        <v/>
      </c>
      <c r="F30" s="5">
        <f>COUNTIFS('Test Cases'!$B:$B,A30,'Test Cases'!$R:$R,"Passed")</f>
        <v/>
      </c>
      <c r="G30" s="5">
        <f>COUNTIFS('Test Cases'!$B:$B,A30,'Test Cases'!$R:$R,"Failed")</f>
        <v/>
      </c>
      <c r="H30" s="5">
        <f>COUNTIFS('Test Cases'!$B:$B,A30,'Test Cases'!$R:$R,"Blocked")</f>
        <v/>
      </c>
      <c r="I30" s="5">
        <f>COUNTIFS('Test Cases'!$B:$B,A30,'Test Cases'!$R:$R,"Planned / Not Yet Executed")+COUNTIFS('Test Cases'!$B:$B,A30,'Test Cases'!$R:$R,"Not Run")</f>
        <v/>
      </c>
      <c r="J30" s="6">
        <f>IFERROR(F30/B30,0)</f>
        <v/>
      </c>
    </row>
    <row r="31">
      <c r="A31" s="5" t="inlineStr">
        <is>
          <t>UAT &amp; Release Sign-off</t>
        </is>
      </c>
      <c r="B31" s="5">
        <f>COUNTIF('Test Cases'!$B:$B,A31)</f>
        <v/>
      </c>
      <c r="C31" s="5">
        <f>COUNTIFS('Test Cases'!$B:$B,A31,'Test Cases'!$G:$G,"Critical")</f>
        <v/>
      </c>
      <c r="D31" s="5">
        <f>COUNTIFS('Test Cases'!$B:$B,A31,'Test Cases'!$G:$G,"High")</f>
        <v/>
      </c>
      <c r="E31" s="5">
        <f>COUNTIFS('Test Cases'!$B:$B,A31,'Test Cases'!$G:$G,"Medium")</f>
        <v/>
      </c>
      <c r="F31" s="5">
        <f>COUNTIFS('Test Cases'!$B:$B,A31,'Test Cases'!$R:$R,"Passed")</f>
        <v/>
      </c>
      <c r="G31" s="5">
        <f>COUNTIFS('Test Cases'!$B:$B,A31,'Test Cases'!$R:$R,"Failed")</f>
        <v/>
      </c>
      <c r="H31" s="5">
        <f>COUNTIFS('Test Cases'!$B:$B,A31,'Test Cases'!$R:$R,"Blocked")</f>
        <v/>
      </c>
      <c r="I31" s="5">
        <f>COUNTIFS('Test Cases'!$B:$B,A31,'Test Cases'!$R:$R,"Planned / Not Yet Executed")+COUNTIFS('Test Cases'!$B:$B,A31,'Test Cases'!$R:$R,"Not Run")</f>
        <v/>
      </c>
      <c r="J31" s="6">
        <f>IFERROR(F31/B31,0)</f>
        <v/>
      </c>
    </row>
    <row r="32"/>
    <row r="33"/>
    <row r="34">
      <c r="A34" s="3" t="inlineStr">
        <is>
          <t>Release-gate indicator</t>
        </is>
      </c>
      <c r="B34" s="3" t="inlineStr">
        <is>
          <t>Formula/result</t>
        </is>
      </c>
      <c r="C34" s="3" t="inlineStr">
        <is>
          <t>Required state</t>
        </is>
      </c>
      <c r="D34" s="3" t="inlineStr"/>
      <c r="E34" s="3" t="inlineStr"/>
      <c r="F34" s="3" t="inlineStr"/>
      <c r="G34" s="3" t="inlineStr"/>
      <c r="H34" s="3" t="inlineStr"/>
      <c r="I34" s="3" t="inlineStr"/>
      <c r="J34" s="3" t="inlineStr"/>
    </row>
    <row r="35">
      <c r="A35" s="5" t="inlineStr">
        <is>
          <t>Unresolved Critical/High defects</t>
        </is>
      </c>
      <c r="B35" s="5">
        <f>COUNTIFS('Defect Log'!$C:$C,"Critical",'Defect Log'!$E:$E,"&lt;&gt;Closed")+COUNTIFS('Defect Log'!$C:$C,"High",'Defect Log'!$E:$E,"&lt;&gt;Closed")</f>
        <v/>
      </c>
      <c r="C35" s="5" t="inlineStr">
        <is>
          <t>0</t>
        </is>
      </c>
      <c r="D35" s="5" t="n"/>
      <c r="E35" s="5" t="n"/>
      <c r="F35" s="5" t="n"/>
      <c r="G35" s="5" t="n"/>
      <c r="H35" s="5" t="n"/>
      <c r="I35" s="5" t="n"/>
      <c r="J35" s="5" t="n"/>
    </row>
    <row r="36">
      <c r="A36" s="5" t="inlineStr">
        <is>
          <t>Mandatory Critical/High not passed</t>
        </is>
      </c>
      <c r="B36" s="5">
        <f>COUNTIFS('Test Cases'!$G:$G,"Critical",'Test Cases'!$R:$R,"&lt;&gt;Passed")+COUNTIFS('Test Cases'!$G:$G,"High",'Test Cases'!$R:$R,"&lt;&gt;Passed")</f>
        <v/>
      </c>
      <c r="C36" s="5" t="inlineStr">
        <is>
          <t>0</t>
        </is>
      </c>
      <c r="D36" s="5" t="n"/>
      <c r="E36" s="5" t="n"/>
      <c r="F36" s="5" t="n"/>
      <c r="G36" s="5" t="n"/>
      <c r="H36" s="5" t="n"/>
      <c r="I36" s="5" t="n"/>
      <c r="J36" s="5" t="n"/>
    </row>
    <row r="37">
      <c r="A37" s="5" t="inlineStr">
        <is>
          <t>Release checklist incomplete</t>
        </is>
      </c>
      <c r="B37" s="5">
        <f>COUNTIF('Release Gate Checklist'!$D:$D,"&lt;&gt;Passed")-1</f>
        <v/>
      </c>
      <c r="C37" s="5" t="inlineStr">
        <is>
          <t>0</t>
        </is>
      </c>
      <c r="D37" s="5" t="n"/>
      <c r="E37" s="5" t="n"/>
      <c r="F37" s="5" t="n"/>
      <c r="G37" s="5" t="n"/>
      <c r="H37" s="5" t="n"/>
      <c r="I37" s="5" t="n"/>
      <c r="J37" s="5" t="n"/>
    </row>
    <row r="38">
      <c r="A38" s="5" t="inlineStr">
        <is>
          <t>Overall decision</t>
        </is>
      </c>
      <c r="B38" s="5">
        <f>IF(AND(B35=0,B36=0,B37=0),"ELIGIBLE FOR APPROVAL","BLOCKED")</f>
        <v/>
      </c>
      <c r="C38" s="5" t="inlineStr">
        <is>
          <t>ELIGIBLE FOR APPROVAL</t>
        </is>
      </c>
      <c r="D38" s="5" t="n"/>
      <c r="E38" s="5" t="n"/>
      <c r="F38" s="5" t="n"/>
      <c r="G38" s="5" t="n"/>
      <c r="H38" s="5" t="n"/>
      <c r="I38" s="5" t="n"/>
      <c r="J38" s="5" t="n"/>
    </row>
  </sheetData>
  <mergeCells count="2">
    <mergeCell ref="A1:J1"/>
    <mergeCell ref="A2:J2"/>
  </mergeCells>
  <conditionalFormatting sqref="B38">
    <cfRule type="expression" priority="1" dxfId="0">
      <formula>B38="BLOCKED"</formula>
    </cfRule>
  </conditionalFormatting>
  <pageMargins left="0.3" right="0.3" top="0.5" bottom="0.5" header="0.2" footer="0.2"/>
  <pageSetup orientation="landscape" fitToHeight="0" fitToWidth="1"/>
  <headerFooter>
    <oddHeader/>
    <oddFooter>&amp;CJima — CARAVAN Lounge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239"/>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22" customWidth="1" min="3" max="3"/>
    <col width="44" customWidth="1" min="4" max="4"/>
    <col width="48" customWidth="1" min="5" max="5"/>
    <col width="16" customWidth="1" min="6" max="6"/>
    <col width="12" customWidth="1" min="7" max="7"/>
    <col width="12" customWidth="1" min="8" max="8"/>
    <col width="50" customWidth="1" min="9" max="9"/>
    <col width="44" customWidth="1" min="10" max="10"/>
    <col width="28" customWidth="1" min="11" max="11"/>
    <col width="38" customWidth="1" min="12" max="12"/>
    <col width="70" customWidth="1" min="13" max="13"/>
    <col width="62" customWidth="1" min="14" max="14"/>
    <col width="52" customWidth="1" min="15" max="15"/>
    <col width="18" customWidth="1" min="16" max="16"/>
    <col width="52" customWidth="1" min="17" max="17"/>
    <col width="26" customWidth="1" min="18" max="18"/>
    <col width="42" customWidth="1" min="19" max="19"/>
    <col width="14" customWidth="1" min="20" max="20"/>
    <col width="20" customWidth="1" min="21" max="21"/>
    <col width="16" customWidth="1" min="22" max="22"/>
    <col width="22" customWidth="1" min="23" max="23"/>
    <col width="35" customWidth="1" min="24" max="24"/>
  </cols>
  <sheetData>
    <row r="1">
      <c r="A1" s="3" t="inlineStr">
        <is>
          <t>Test ID</t>
        </is>
      </c>
      <c r="B1" s="3" t="inlineStr">
        <is>
          <t>Module</t>
        </is>
      </c>
      <c r="C1" s="3" t="inlineStr">
        <is>
          <t>Requirement ID(s)</t>
        </is>
      </c>
      <c r="D1" s="3" t="inlineStr">
        <is>
          <t>Title</t>
        </is>
      </c>
      <c r="E1" s="3" t="inlineStr">
        <is>
          <t>Objective</t>
        </is>
      </c>
      <c r="F1" s="3" t="inlineStr">
        <is>
          <t>Type</t>
        </is>
      </c>
      <c r="G1" s="3" t="inlineStr">
        <is>
          <t>Priority</t>
        </is>
      </c>
      <c r="H1" s="3" t="inlineStr">
        <is>
          <t>Risk</t>
        </is>
      </c>
      <c r="I1" s="3" t="inlineStr">
        <is>
          <t>Preconditions</t>
        </is>
      </c>
      <c r="J1" s="3" t="inlineStr">
        <is>
          <t>Test Data</t>
        </is>
      </c>
      <c r="K1" s="3" t="inlineStr">
        <is>
          <t>Actor/Role</t>
        </is>
      </c>
      <c r="L1" s="3" t="inlineStr">
        <is>
          <t>Branch/Restaurant Context</t>
        </is>
      </c>
      <c r="M1" s="3" t="inlineStr">
        <is>
          <t>Numbered Steps</t>
        </is>
      </c>
      <c r="N1" s="3" t="inlineStr">
        <is>
          <t>Expected Result</t>
        </is>
      </c>
      <c r="O1" s="3" t="inlineStr">
        <is>
          <t>Cleanup/Reset</t>
        </is>
      </c>
      <c r="P1" s="3" t="inlineStr">
        <is>
          <t>Automation Candidate</t>
        </is>
      </c>
      <c r="Q1" s="3" t="inlineStr">
        <is>
          <t>Evidence Required</t>
        </is>
      </c>
      <c r="R1" s="3" t="inlineStr">
        <is>
          <t>Status</t>
        </is>
      </c>
      <c r="S1" s="3" t="inlineStr">
        <is>
          <t>Actual Result</t>
        </is>
      </c>
      <c r="T1" s="3" t="inlineStr">
        <is>
          <t>Defect ID</t>
        </is>
      </c>
      <c r="U1" s="3" t="inlineStr">
        <is>
          <t>Tester</t>
        </is>
      </c>
      <c r="V1" s="3" t="inlineStr">
        <is>
          <t>Execution Date</t>
        </is>
      </c>
      <c r="W1" s="3" t="inlineStr">
        <is>
          <t>Environment</t>
        </is>
      </c>
      <c r="X1" s="3" t="inlineStr">
        <is>
          <t>Notes</t>
        </is>
      </c>
    </row>
    <row r="2" ht="72" customHeight="1">
      <c r="A2" s="4" t="inlineStr">
        <is>
          <t>ENV-001</t>
        </is>
      </c>
      <c r="B2" s="4" t="inlineStr">
        <is>
          <t>Environment &amp; Build</t>
        </is>
      </c>
      <c r="C2" s="4" t="inlineStr">
        <is>
          <t>NFR-06, NFR-07</t>
        </is>
      </c>
      <c r="D2" s="4" t="inlineStr">
        <is>
          <t>Clean install resolves the locked dependency graph</t>
        </is>
      </c>
      <c r="E2" s="4" t="inlineStr">
        <is>
          <t>Verify, without assuming a pass result, that the release candidate correctly enforces: Clean install resolves the locked dependency graph.</t>
        </is>
      </c>
      <c r="F2" s="4" t="inlineStr">
        <is>
          <t>Positive</t>
        </is>
      </c>
      <c r="G2" s="4" t="inlineStr">
        <is>
          <t>Medium</t>
        </is>
      </c>
      <c r="H2" s="4" t="inlineStr">
        <is>
          <t>Medium</t>
        </is>
      </c>
      <c r="I2" s="4" t="inlineStr">
        <is>
          <t>Clean release candidate; documented Node 18+, pnpm and PostgreSQL 14+; isolated QA environment.</t>
        </is>
      </c>
      <c r="J2" s="4" t="inlineStr">
        <is>
          <t>Use only named synthetic records from the Test Data Plan; capture generated IDs and baseline values in evidence. Never use real credentials, customer PII or secrets.</t>
        </is>
      </c>
      <c r="K2" s="4" t="inlineStr">
        <is>
          <t>QA Lead / Release Engineer</t>
        </is>
      </c>
      <c r="L2" s="4" t="inlineStr">
        <is>
          <t>Isolated QA or staging; never production unless the approved smoke step explicitly says so</t>
        </is>
      </c>
      <c r="M2" s="4" t="inlineStr">
        <is>
          <t>1. Sign in as QA Lead / Release Engineer, or remain anonymous when the case requires it.
2. Record relevant UI, API and database baseline identifiers, statuses, counts and balances.
3. Use the documented page/API to verify that clean install resolves the locked dependency graph.
4. Refresh or repeat through an independent client where concurrency, polling or idempotency applies.
5. Compare the outcome, scope, audit fields and side effects with the expected result; capture evidence.</t>
        </is>
      </c>
      <c r="N2" s="4" t="inlineStr">
        <is>
          <t>The release candidate demonstrates the specified behavior exactly and only within the actor's authorized scope: Clean install resolves the locked dependency graph. No unrelated record changes.</t>
        </is>
      </c>
      <c r="O2" s="4" t="inlineStr">
        <is>
          <t>Reverse only synthetic changes through supported UI/API, or restore the approved isolated snapshot; confirm no residual locks, sessions, occupied tables or stock deltas.</t>
        </is>
      </c>
      <c r="P2" s="4" t="inlineStr">
        <is>
          <t>Yes</t>
        </is>
      </c>
      <c r="Q2" s="4" t="inlineStr">
        <is>
          <t>Timestamped screenshots for UI; request/response with secrets redacted for API; query IDs/counts/balances for transactions; export/build artifact or monitoring trace where applicable.</t>
        </is>
      </c>
      <c r="R2" s="4" t="inlineStr">
        <is>
          <t>Planned / Not Yet Executed</t>
        </is>
      </c>
      <c r="S2" s="4" t="inlineStr"/>
      <c r="T2" s="4" t="inlineStr"/>
      <c r="U2" s="4" t="inlineStr"/>
      <c r="V2" s="4" t="inlineStr"/>
      <c r="W2" s="4" t="inlineStr"/>
      <c r="X2" s="4" t="inlineStr"/>
    </row>
    <row r="3" ht="72" customHeight="1">
      <c r="A3" s="4" t="inlineStr">
        <is>
          <t>ENV-002</t>
        </is>
      </c>
      <c r="B3" s="4" t="inlineStr">
        <is>
          <t>Environment &amp; Build</t>
        </is>
      </c>
      <c r="C3" s="4" t="inlineStr">
        <is>
          <t>NFR-06, NFR-07</t>
        </is>
      </c>
      <c r="D3" s="4" t="inlineStr">
        <is>
          <t>Frontend TypeScript static check completes without errors</t>
        </is>
      </c>
      <c r="E3" s="4" t="inlineStr">
        <is>
          <t>Verify, without assuming a pass result, that the release candidate correctly enforces: Frontend TypeScript static check completes without errors.</t>
        </is>
      </c>
      <c r="F3" s="4" t="inlineStr">
        <is>
          <t>Negative</t>
        </is>
      </c>
      <c r="G3" s="4" t="inlineStr">
        <is>
          <t>Medium</t>
        </is>
      </c>
      <c r="H3" s="4" t="inlineStr">
        <is>
          <t>Medium</t>
        </is>
      </c>
      <c r="I3" s="4" t="inlineStr">
        <is>
          <t>Clean release candidate; documented Node 18+, pnpm and PostgreSQL 14+; isolated QA environment.</t>
        </is>
      </c>
      <c r="J3" s="4" t="inlineStr">
        <is>
          <t>Use only named synthetic records from the Test Data Plan; capture generated IDs and baseline values in evidence. Never use real credentials, customer PII or secrets.</t>
        </is>
      </c>
      <c r="K3" s="4" t="inlineStr">
        <is>
          <t>QA Lead / Release Engineer</t>
        </is>
      </c>
      <c r="L3" s="4" t="inlineStr">
        <is>
          <t>Isolated QA or staging; never production unless the approved smoke step explicitly says so</t>
        </is>
      </c>
      <c r="M3" s="4" t="inlineStr">
        <is>
          <t>1. Sign in as QA Lead / Release Engineer, or remain anonymous when the case requires it.
2. Record relevant UI, API and database baseline identifiers, statuses, counts and balances.
3. Use the documented page/API to verify that frontend TypeScript static check completes without errors.
4. Refresh or repeat through an independent client where concurrency, polling or idempotency applies.
5. Compare the outcome, scope, audit fields and side effects with the expected result; capture evidence.</t>
        </is>
      </c>
      <c r="N3" s="4" t="inlineStr">
        <is>
          <t>The release candidate demonstrates the specified behavior exactly and only within the actor's authorized scope: Frontend TypeScript static check completes without errors. No unrelated record changes.</t>
        </is>
      </c>
      <c r="O3" s="4" t="inlineStr">
        <is>
          <t>Reverse only synthetic changes through supported UI/API, or restore the approved isolated snapshot; confirm no residual locks, sessions, occupied tables or stock deltas.</t>
        </is>
      </c>
      <c r="P3" s="4" t="inlineStr">
        <is>
          <t>Yes</t>
        </is>
      </c>
      <c r="Q3" s="4" t="inlineStr">
        <is>
          <t>Timestamped screenshots for UI; request/response with secrets redacted for API; query IDs/counts/balances for transactions; export/build artifact or monitoring trace where applicable.</t>
        </is>
      </c>
      <c r="R3" s="4" t="inlineStr">
        <is>
          <t>Planned / Not Yet Executed</t>
        </is>
      </c>
      <c r="S3" s="4" t="inlineStr"/>
      <c r="T3" s="4" t="inlineStr"/>
      <c r="U3" s="4" t="inlineStr"/>
      <c r="V3" s="4" t="inlineStr"/>
      <c r="W3" s="4" t="inlineStr"/>
      <c r="X3" s="4" t="inlineStr"/>
    </row>
    <row r="4" ht="72" customHeight="1">
      <c r="A4" s="4" t="inlineStr">
        <is>
          <t>ENV-003</t>
        </is>
      </c>
      <c r="B4" s="4" t="inlineStr">
        <is>
          <t>Environment &amp; Build</t>
        </is>
      </c>
      <c r="C4" s="4" t="inlineStr">
        <is>
          <t>NFR-06, NFR-07</t>
        </is>
      </c>
      <c r="D4" s="4" t="inlineStr">
        <is>
          <t>Backend TypeScript static check completes without errors</t>
        </is>
      </c>
      <c r="E4" s="4" t="inlineStr">
        <is>
          <t>Verify, without assuming a pass result, that the release candidate correctly enforces: Backend TypeScript static check completes without errors.</t>
        </is>
      </c>
      <c r="F4" s="4" t="inlineStr">
        <is>
          <t>Negative</t>
        </is>
      </c>
      <c r="G4" s="4" t="inlineStr">
        <is>
          <t>Medium</t>
        </is>
      </c>
      <c r="H4" s="4" t="inlineStr">
        <is>
          <t>Medium</t>
        </is>
      </c>
      <c r="I4" s="4" t="inlineStr">
        <is>
          <t>Clean release candidate; documented Node 18+, pnpm and PostgreSQL 14+; isolated QA environment.</t>
        </is>
      </c>
      <c r="J4" s="4" t="inlineStr">
        <is>
          <t>Use only named synthetic records from the Test Data Plan; capture generated IDs and baseline values in evidence. Never use real credentials, customer PII or secrets.</t>
        </is>
      </c>
      <c r="K4" s="4" t="inlineStr">
        <is>
          <t>QA Lead / Release Engineer</t>
        </is>
      </c>
      <c r="L4" s="4" t="inlineStr">
        <is>
          <t>Isolated QA or staging; never production unless the approved smoke step explicitly says so</t>
        </is>
      </c>
      <c r="M4" s="4" t="inlineStr">
        <is>
          <t>1. Sign in as QA Lead / Release Engineer, or remain anonymous when the case requires it.
2. Record relevant UI, API and database baseline identifiers, statuses, counts and balances.
3. Use the documented page/API to verify that backend TypeScript static check completes without errors.
4. Refresh or repeat through an independent client where concurrency, polling or idempotency applies.
5. Compare the outcome, scope, audit fields and side effects with the expected result; capture evidence.</t>
        </is>
      </c>
      <c r="N4" s="4" t="inlineStr">
        <is>
          <t>The release candidate demonstrates the specified behavior exactly and only within the actor's authorized scope: Backend TypeScript static check completes without errors. No unrelated record changes.</t>
        </is>
      </c>
      <c r="O4" s="4" t="inlineStr">
        <is>
          <t>Reverse only synthetic changes through supported UI/API, or restore the approved isolated snapshot; confirm no residual locks, sessions, occupied tables or stock deltas.</t>
        </is>
      </c>
      <c r="P4" s="4" t="inlineStr">
        <is>
          <t>Yes</t>
        </is>
      </c>
      <c r="Q4" s="4" t="inlineStr">
        <is>
          <t>Timestamped screenshots for UI; request/response with secrets redacted for API; query IDs/counts/balances for transactions; export/build artifact or monitoring trace where applicable.</t>
        </is>
      </c>
      <c r="R4" s="4" t="inlineStr">
        <is>
          <t>Planned / Not Yet Executed</t>
        </is>
      </c>
      <c r="S4" s="4" t="inlineStr"/>
      <c r="T4" s="4" t="inlineStr"/>
      <c r="U4" s="4" t="inlineStr"/>
      <c r="V4" s="4" t="inlineStr"/>
      <c r="W4" s="4" t="inlineStr"/>
      <c r="X4" s="4" t="inlineStr"/>
    </row>
    <row r="5" ht="72" customHeight="1">
      <c r="A5" s="4" t="inlineStr">
        <is>
          <t>ENV-004</t>
        </is>
      </c>
      <c r="B5" s="4" t="inlineStr">
        <is>
          <t>Environment &amp; Build</t>
        </is>
      </c>
      <c r="C5" s="4" t="inlineStr">
        <is>
          <t>NFR-06, NFR-07</t>
        </is>
      </c>
      <c r="D5" s="4" t="inlineStr">
        <is>
          <t>Production frontend build uses the registered Jima source</t>
        </is>
      </c>
      <c r="E5" s="4" t="inlineStr">
        <is>
          <t>Verify, without assuming a pass result, that the release candidate correctly enforces: Production frontend build uses the registered Jima source.</t>
        </is>
      </c>
      <c r="F5" s="4" t="inlineStr">
        <is>
          <t>Positive</t>
        </is>
      </c>
      <c r="G5" s="4" t="inlineStr">
        <is>
          <t>Medium</t>
        </is>
      </c>
      <c r="H5" s="4" t="inlineStr">
        <is>
          <t>Medium</t>
        </is>
      </c>
      <c r="I5" s="4" t="inlineStr">
        <is>
          <t>Clean release candidate; documented Node 18+, pnpm and PostgreSQL 14+; isolated QA environment.</t>
        </is>
      </c>
      <c r="J5" s="4" t="inlineStr">
        <is>
          <t>Use only named synthetic records from the Test Data Plan; capture generated IDs and baseline values in evidence. Never use real credentials, customer PII or secrets.</t>
        </is>
      </c>
      <c r="K5" s="4" t="inlineStr">
        <is>
          <t>QA Lead / Release Engineer</t>
        </is>
      </c>
      <c r="L5" s="4" t="inlineStr">
        <is>
          <t>Isolated QA or staging; never production unless the approved smoke step explicitly says so</t>
        </is>
      </c>
      <c r="M5" s="4" t="inlineStr">
        <is>
          <t>1. Sign in as QA Lead / Release Engineer, or remain anonymous when the case requires it.
2. Record relevant UI, API and database baseline identifiers, statuses, counts and balances.
3. Use the documented page/API to verify that production frontend build uses the registered Jima source.
4. Refresh or repeat through an independent client where concurrency, polling or idempotency applies.
5. Compare the outcome, scope, audit fields and side effects with the expected result; capture evidence.</t>
        </is>
      </c>
      <c r="N5" s="4" t="inlineStr">
        <is>
          <t>The release candidate demonstrates the specified behavior exactly and only within the actor's authorized scope: Production frontend build uses the registered Jima source. No unrelated record changes.</t>
        </is>
      </c>
      <c r="O5" s="4" t="inlineStr">
        <is>
          <t>Reverse only synthetic changes through supported UI/API, or restore the approved isolated snapshot; confirm no residual locks, sessions, occupied tables or stock deltas.</t>
        </is>
      </c>
      <c r="P5" s="4" t="inlineStr">
        <is>
          <t>Yes</t>
        </is>
      </c>
      <c r="Q5" s="4" t="inlineStr">
        <is>
          <t>Timestamped screenshots for UI; request/response with secrets redacted for API; query IDs/counts/balances for transactions; export/build artifact or monitoring trace where applicable.</t>
        </is>
      </c>
      <c r="R5" s="4" t="inlineStr">
        <is>
          <t>Planned / Not Yet Executed</t>
        </is>
      </c>
      <c r="S5" s="4" t="inlineStr"/>
      <c r="T5" s="4" t="inlineStr"/>
      <c r="U5" s="4" t="inlineStr"/>
      <c r="V5" s="4" t="inlineStr"/>
      <c r="W5" s="4" t="inlineStr"/>
      <c r="X5" s="4" t="inlineStr"/>
    </row>
    <row r="6" ht="72" customHeight="1">
      <c r="A6" s="4" t="inlineStr">
        <is>
          <t>ENV-005</t>
        </is>
      </c>
      <c r="B6" s="4" t="inlineStr">
        <is>
          <t>Environment &amp; Build</t>
        </is>
      </c>
      <c r="C6" s="4" t="inlineStr">
        <is>
          <t>NFR-06, NFR-07</t>
        </is>
      </c>
      <c r="D6" s="4" t="inlineStr">
        <is>
          <t>Backend package build produces a startable artifact</t>
        </is>
      </c>
      <c r="E6" s="4" t="inlineStr">
        <is>
          <t>Verify, without assuming a pass result, that the release candidate correctly enforces: Backend package build produces a startable artifact.</t>
        </is>
      </c>
      <c r="F6" s="4" t="inlineStr">
        <is>
          <t>Positive</t>
        </is>
      </c>
      <c r="G6" s="4" t="inlineStr">
        <is>
          <t>Medium</t>
        </is>
      </c>
      <c r="H6" s="4" t="inlineStr">
        <is>
          <t>Medium</t>
        </is>
      </c>
      <c r="I6" s="4" t="inlineStr">
        <is>
          <t>Clean release candidate; documented Node 18+, pnpm and PostgreSQL 14+; isolated QA environment.</t>
        </is>
      </c>
      <c r="J6" s="4" t="inlineStr">
        <is>
          <t>Use only named synthetic records from the Test Data Plan; capture generated IDs and baseline values in evidence. Never use real credentials, customer PII or secrets.</t>
        </is>
      </c>
      <c r="K6" s="4" t="inlineStr">
        <is>
          <t>QA Lead / Release Engineer</t>
        </is>
      </c>
      <c r="L6" s="4" t="inlineStr">
        <is>
          <t>Isolated QA or staging; never production unless the approved smoke step explicitly says so</t>
        </is>
      </c>
      <c r="M6" s="4" t="inlineStr">
        <is>
          <t>1. Sign in as QA Lead / Release Engineer, or remain anonymous when the case requires it.
2. Record relevant UI, API and database baseline identifiers, statuses, counts and balances.
3. Use the documented page/API to verify that backend package build produces a startable artifact.
4. Refresh or repeat through an independent client where concurrency, polling or idempotency applies.
5. Compare the outcome, scope, audit fields and side effects with the expected result; capture evidence.</t>
        </is>
      </c>
      <c r="N6" s="4" t="inlineStr">
        <is>
          <t>The release candidate demonstrates the specified behavior exactly and only within the actor's authorized scope: Backend package build produces a startable artifact. No unrelated record changes.</t>
        </is>
      </c>
      <c r="O6" s="4" t="inlineStr">
        <is>
          <t>Reverse only synthetic changes through supported UI/API, or restore the approved isolated snapshot; confirm no residual locks, sessions, occupied tables or stock deltas.</t>
        </is>
      </c>
      <c r="P6" s="4" t="inlineStr">
        <is>
          <t>Yes</t>
        </is>
      </c>
      <c r="Q6" s="4" t="inlineStr">
        <is>
          <t>Timestamped screenshots for UI; request/response with secrets redacted for API; query IDs/counts/balances for transactions; export/build artifact or monitoring trace where applicable.</t>
        </is>
      </c>
      <c r="R6" s="4" t="inlineStr">
        <is>
          <t>Planned / Not Yet Executed</t>
        </is>
      </c>
      <c r="S6" s="4" t="inlineStr"/>
      <c r="T6" s="4" t="inlineStr"/>
      <c r="U6" s="4" t="inlineStr"/>
      <c r="V6" s="4" t="inlineStr"/>
      <c r="W6" s="4" t="inlineStr"/>
      <c r="X6" s="4" t="inlineStr"/>
    </row>
    <row r="7" ht="72" customHeight="1">
      <c r="A7" s="4" t="inlineStr">
        <is>
          <t>ENV-006</t>
        </is>
      </c>
      <c r="B7" s="4" t="inlineStr">
        <is>
          <t>Environment &amp; Build</t>
        </is>
      </c>
      <c r="C7" s="4" t="inlineStr">
        <is>
          <t>NFR-06, NFR-07</t>
        </is>
      </c>
      <c r="D7" s="4" t="inlineStr">
        <is>
          <t>Required environment variables are detected without exposing values</t>
        </is>
      </c>
      <c r="E7" s="4" t="inlineStr">
        <is>
          <t>Verify, without assuming a pass result, that the release candidate correctly enforces: Required environment variables are detected without exposing values.</t>
        </is>
      </c>
      <c r="F7" s="4" t="inlineStr">
        <is>
          <t>Negative</t>
        </is>
      </c>
      <c r="G7" s="4" t="inlineStr">
        <is>
          <t>Medium</t>
        </is>
      </c>
      <c r="H7" s="4" t="inlineStr">
        <is>
          <t>Medium</t>
        </is>
      </c>
      <c r="I7" s="4" t="inlineStr">
        <is>
          <t>Clean release candidate; documented Node 18+, pnpm and PostgreSQL 14+; isolated QA environment.</t>
        </is>
      </c>
      <c r="J7" s="4" t="inlineStr">
        <is>
          <t>Use only named synthetic records from the Test Data Plan; capture generated IDs and baseline values in evidence. Never use real credentials, customer PII or secrets.</t>
        </is>
      </c>
      <c r="K7" s="4" t="inlineStr">
        <is>
          <t>QA Lead / Release Engineer</t>
        </is>
      </c>
      <c r="L7" s="4" t="inlineStr">
        <is>
          <t>Isolated QA or staging; never production unless the approved smoke step explicitly says so</t>
        </is>
      </c>
      <c r="M7" s="4" t="inlineStr">
        <is>
          <t>1. Sign in as QA Lead / Release Engineer, or remain anonymous when the case requires it.
2. Record relevant UI, API and database baseline identifiers, statuses, counts and balances.
3. Use the documented page/API to verify that required environment variables are detected without exposing values.
4. Refresh or repeat through an independent client where concurrency, polling or idempotency applies.
5. Compare the outcome, scope, audit fields and side effects with the expected result; capture evidence.</t>
        </is>
      </c>
      <c r="N7" s="4" t="inlineStr">
        <is>
          <t>The release candidate demonstrates the specified behavior exactly and only within the actor's authorized scope: Required environment variables are detected without exposing values. No unrelated record changes.</t>
        </is>
      </c>
      <c r="O7" s="4" t="inlineStr">
        <is>
          <t>Reverse only synthetic changes through supported UI/API, or restore the approved isolated snapshot; confirm no residual locks, sessions, occupied tables or stock deltas.</t>
        </is>
      </c>
      <c r="P7" s="4" t="inlineStr">
        <is>
          <t>Yes</t>
        </is>
      </c>
      <c r="Q7" s="4" t="inlineStr">
        <is>
          <t>Timestamped screenshots for UI; request/response with secrets redacted for API; query IDs/counts/balances for transactions; export/build artifact or monitoring trace where applicable.</t>
        </is>
      </c>
      <c r="R7" s="4" t="inlineStr">
        <is>
          <t>Planned / Not Yet Executed</t>
        </is>
      </c>
      <c r="S7" s="4" t="inlineStr"/>
      <c r="T7" s="4" t="inlineStr"/>
      <c r="U7" s="4" t="inlineStr"/>
      <c r="V7" s="4" t="inlineStr"/>
      <c r="W7" s="4" t="inlineStr"/>
      <c r="X7" s="4" t="inlineStr"/>
    </row>
    <row r="8" ht="72" customHeight="1">
      <c r="A8" s="4" t="inlineStr">
        <is>
          <t>ENV-007</t>
        </is>
      </c>
      <c r="B8" s="4" t="inlineStr">
        <is>
          <t>Environment &amp; Build</t>
        </is>
      </c>
      <c r="C8" s="4" t="inlineStr">
        <is>
          <t>NFR-06, NFR-07</t>
        </is>
      </c>
      <c r="D8" s="4" t="inlineStr">
        <is>
          <t>Health endpoint confirms service and database readiness</t>
        </is>
      </c>
      <c r="E8" s="4" t="inlineStr">
        <is>
          <t>Verify, without assuming a pass result, that the release candidate correctly enforces: Health endpoint confirms service and database readiness.</t>
        </is>
      </c>
      <c r="F8" s="4" t="inlineStr">
        <is>
          <t>Positive</t>
        </is>
      </c>
      <c r="G8" s="4" t="inlineStr">
        <is>
          <t>Medium</t>
        </is>
      </c>
      <c r="H8" s="4" t="inlineStr">
        <is>
          <t>Medium</t>
        </is>
      </c>
      <c r="I8" s="4" t="inlineStr">
        <is>
          <t>Clean release candidate; documented Node 18+, pnpm and PostgreSQL 14+; isolated QA environment.</t>
        </is>
      </c>
      <c r="J8" s="4" t="inlineStr">
        <is>
          <t>Use only named synthetic records from the Test Data Plan; capture generated IDs and baseline values in evidence. Never use real credentials, customer PII or secrets.</t>
        </is>
      </c>
      <c r="K8" s="4" t="inlineStr">
        <is>
          <t>QA Lead / Release Engineer</t>
        </is>
      </c>
      <c r="L8" s="4" t="inlineStr">
        <is>
          <t>Isolated QA or staging; never production unless the approved smoke step explicitly says so</t>
        </is>
      </c>
      <c r="M8" s="4" t="inlineStr">
        <is>
          <t>1. Sign in as QA Lead / Release Engineer, or remain anonymous when the case requires it.
2. Record relevant UI, API and database baseline identifiers, statuses, counts and balances.
3. Use the documented page/API to verify that health endpoint confirms service and database readiness.
4. Refresh or repeat through an independent client where concurrency, polling or idempotency applies.
5. Compare the outcome, scope, audit fields and side effects with the expected result; capture evidence.</t>
        </is>
      </c>
      <c r="N8" s="4" t="inlineStr">
        <is>
          <t>The release candidate demonstrates the specified behavior exactly and only within the actor's authorized scope: Health endpoint confirms service and database readiness. No unrelated record changes.</t>
        </is>
      </c>
      <c r="O8" s="4" t="inlineStr">
        <is>
          <t>Reverse only synthetic changes through supported UI/API, or restore the approved isolated snapshot; confirm no residual locks, sessions, occupied tables or stock deltas.</t>
        </is>
      </c>
      <c r="P8" s="4" t="inlineStr">
        <is>
          <t>Yes</t>
        </is>
      </c>
      <c r="Q8" s="4" t="inlineStr">
        <is>
          <t>Timestamped screenshots for UI; request/response with secrets redacted for API; query IDs/counts/balances for transactions; export/build artifact or monitoring trace where applicable.</t>
        </is>
      </c>
      <c r="R8" s="4" t="inlineStr">
        <is>
          <t>Planned / Not Yet Executed</t>
        </is>
      </c>
      <c r="S8" s="4" t="inlineStr"/>
      <c r="T8" s="4" t="inlineStr"/>
      <c r="U8" s="4" t="inlineStr"/>
      <c r="V8" s="4" t="inlineStr"/>
      <c r="W8" s="4" t="inlineStr"/>
      <c r="X8" s="4" t="inlineStr"/>
    </row>
    <row r="9" ht="72" customHeight="1">
      <c r="A9" s="4" t="inlineStr">
        <is>
          <t>ENV-008</t>
        </is>
      </c>
      <c r="B9" s="4" t="inlineStr">
        <is>
          <t>Environment &amp; Build</t>
        </is>
      </c>
      <c r="C9" s="4" t="inlineStr">
        <is>
          <t>NFR-06, NFR-07</t>
        </is>
      </c>
      <c r="D9" s="4" t="inlineStr">
        <is>
          <t>Missing build or test script is reported as a gap, not a pass</t>
        </is>
      </c>
      <c r="E9" s="4" t="inlineStr">
        <is>
          <t>Verify, without assuming a pass result, that the release candidate correctly enforces: Missing build or test script is reported as a gap, not a pass.</t>
        </is>
      </c>
      <c r="F9" s="4" t="inlineStr">
        <is>
          <t>Negative</t>
        </is>
      </c>
      <c r="G9" s="4" t="inlineStr">
        <is>
          <t>Medium</t>
        </is>
      </c>
      <c r="H9" s="4" t="inlineStr">
        <is>
          <t>Medium</t>
        </is>
      </c>
      <c r="I9" s="4" t="inlineStr">
        <is>
          <t>Clean release candidate; documented Node 18+, pnpm and PostgreSQL 14+; isolated QA environment.</t>
        </is>
      </c>
      <c r="J9" s="4" t="inlineStr">
        <is>
          <t>Use only named synthetic records from the Test Data Plan; capture generated IDs and baseline values in evidence. Never use real credentials, customer PII or secrets.</t>
        </is>
      </c>
      <c r="K9" s="4" t="inlineStr">
        <is>
          <t>QA Lead / Release Engineer</t>
        </is>
      </c>
      <c r="L9" s="4" t="inlineStr">
        <is>
          <t>Isolated QA or staging; never production unless the approved smoke step explicitly says so</t>
        </is>
      </c>
      <c r="M9" s="4" t="inlineStr">
        <is>
          <t>1. Sign in as QA Lead / Release Engineer, or remain anonymous when the case requires it.
2. Record relevant UI, API and database baseline identifiers, statuses, counts and balances.
3. Use the documented page/API to verify that missing build or test script is reported as a gap, not a pass.
4. Refresh or repeat through an independent client where concurrency, polling or idempotency applies.
5. Compare the outcome, scope, audit fields and side effects with the expected result; capture evidence.</t>
        </is>
      </c>
      <c r="N9" s="4" t="inlineStr">
        <is>
          <t>The release candidate demonstrates the specified behavior exactly and only within the actor's authorized scope: Missing build or test script is reported as a gap, not a pass. No unrelated record changes.</t>
        </is>
      </c>
      <c r="O9" s="4" t="inlineStr">
        <is>
          <t>Reverse only synthetic changes through supported UI/API, or restore the approved isolated snapshot; confirm no residual locks, sessions, occupied tables or stock deltas.</t>
        </is>
      </c>
      <c r="P9" s="4" t="inlineStr">
        <is>
          <t>Yes</t>
        </is>
      </c>
      <c r="Q9" s="4" t="inlineStr">
        <is>
          <t>Timestamped screenshots for UI; request/response with secrets redacted for API; query IDs/counts/balances for transactions; export/build artifact or monitoring trace where applicable.</t>
        </is>
      </c>
      <c r="R9" s="4" t="inlineStr">
        <is>
          <t>Planned / Not Yet Executed</t>
        </is>
      </c>
      <c r="S9" s="4" t="inlineStr"/>
      <c r="T9" s="4" t="inlineStr"/>
      <c r="U9" s="4" t="inlineStr"/>
      <c r="V9" s="4" t="inlineStr"/>
      <c r="W9" s="4" t="inlineStr"/>
      <c r="X9" s="4" t="inlineStr"/>
    </row>
    <row r="10" ht="72" customHeight="1">
      <c r="A10" s="4" t="inlineStr">
        <is>
          <t>AUTH-001</t>
        </is>
      </c>
      <c r="B10" s="4" t="inlineStr">
        <is>
          <t>Authentication &amp; Session</t>
        </is>
      </c>
      <c r="C10" s="4" t="inlineStr">
        <is>
          <t>FR-A01, FR-A02, FR-A04, NFR-03</t>
        </is>
      </c>
      <c r="D10" s="4" t="inlineStr">
        <is>
          <t>Valid active user signs in and receives a JWT</t>
        </is>
      </c>
      <c r="E10" s="4" t="inlineStr">
        <is>
          <t>Verify, without assuming a pass result, that the release candidate correctly enforces: Valid active user signs in and receives a JWT.</t>
        </is>
      </c>
      <c r="F10" s="4" t="inlineStr">
        <is>
          <t>Positive</t>
        </is>
      </c>
      <c r="G10" s="4" t="inlineStr">
        <is>
          <t>Medium</t>
        </is>
      </c>
      <c r="H10" s="4" t="inlineStr">
        <is>
          <t>Medium</t>
        </is>
      </c>
      <c r="I10" s="4" t="inlineStr">
        <is>
          <t>Synthetic active and inactive users exist; login endpoint and protected page are available.</t>
        </is>
      </c>
      <c r="J10" s="4" t="inlineStr">
        <is>
          <t>Use only named synthetic records from the Test Data Plan; capture generated IDs and baseline values in evidence. Never use real credentials, customer PII or secrets.</t>
        </is>
      </c>
      <c r="K10" s="4" t="inlineStr">
        <is>
          <t>Any role / Anonymous</t>
        </is>
      </c>
      <c r="L10" s="4" t="inlineStr">
        <is>
          <t>Restaurant A / Branch A1 unless the case explicitly tests another scope</t>
        </is>
      </c>
      <c r="M10" s="4" t="inlineStr">
        <is>
          <t>1. Sign in as Any role / Anonymous, or remain anonymous when the case requires it.
2. Record relevant UI, API and database baseline identifiers, statuses, counts and balances.
3. Use the documented page/API to verify that valid active user signs in and receives a JWT.
4. Refresh or repeat through an independent client where concurrency, polling or idempotency applies.
5. Compare the outcome, scope, audit fields and side effects with the expected result; capture evidence.</t>
        </is>
      </c>
      <c r="N10" s="4" t="inlineStr">
        <is>
          <t>The release candidate demonstrates the specified behavior exactly and only within the actor's authorized scope: Valid active user signs in and receives a JWT. No unrelated record changes.</t>
        </is>
      </c>
      <c r="O10" s="4" t="inlineStr">
        <is>
          <t>Reverse only synthetic changes through supported UI/API, or restore the approved isolated snapshot; confirm no residual locks, sessions, occupied tables or stock deltas.</t>
        </is>
      </c>
      <c r="P10" s="4" t="inlineStr">
        <is>
          <t>Yes</t>
        </is>
      </c>
      <c r="Q10" s="4" t="inlineStr">
        <is>
          <t>Timestamped screenshots for UI; request/response with secrets redacted for API; query IDs/counts/balances for transactions; export/build artifact or monitoring trace where applicable.</t>
        </is>
      </c>
      <c r="R10" s="4" t="inlineStr">
        <is>
          <t>Planned / Not Yet Executed</t>
        </is>
      </c>
      <c r="S10" s="4" t="inlineStr"/>
      <c r="T10" s="4" t="inlineStr"/>
      <c r="U10" s="4" t="inlineStr"/>
      <c r="V10" s="4" t="inlineStr"/>
      <c r="W10" s="4" t="inlineStr"/>
      <c r="X10" s="4" t="inlineStr"/>
    </row>
    <row r="11" ht="72" customHeight="1">
      <c r="A11" s="4" t="inlineStr">
        <is>
          <t>AUTH-002</t>
        </is>
      </c>
      <c r="B11" s="4" t="inlineStr">
        <is>
          <t>Authentication &amp; Session</t>
        </is>
      </c>
      <c r="C11" s="4" t="inlineStr">
        <is>
          <t>FR-A01, FR-A02, FR-A04, NFR-03</t>
        </is>
      </c>
      <c r="D11" s="4" t="inlineStr">
        <is>
          <t>Invalid password is rejected without account disclosure</t>
        </is>
      </c>
      <c r="E11" s="4" t="inlineStr">
        <is>
          <t>Verify, without assuming a pass result, that the release candidate correctly enforces: Invalid password is rejected without account disclosure.</t>
        </is>
      </c>
      <c r="F11" s="4" t="inlineStr">
        <is>
          <t>Negative</t>
        </is>
      </c>
      <c r="G11" s="4" t="inlineStr">
        <is>
          <t>Critical</t>
        </is>
      </c>
      <c r="H11" s="4" t="inlineStr">
        <is>
          <t>Critical</t>
        </is>
      </c>
      <c r="I11" s="4" t="inlineStr">
        <is>
          <t>Synthetic active and inactive users exist; login endpoint and protected page are available.</t>
        </is>
      </c>
      <c r="J11" s="4" t="inlineStr">
        <is>
          <t>Use only named synthetic records from the Test Data Plan; capture generated IDs and baseline values in evidence. Never use real credentials, customer PII or secrets.</t>
        </is>
      </c>
      <c r="K11" s="4" t="inlineStr">
        <is>
          <t>Any role / Anonymous</t>
        </is>
      </c>
      <c r="L11" s="4" t="inlineStr">
        <is>
          <t>Restaurant A / Branch A1 unless the case explicitly tests another scope</t>
        </is>
      </c>
      <c r="M11" s="4" t="inlineStr">
        <is>
          <t>1. Sign in as Any role / Anonymous, or remain anonymous when the case requires it.
2. Record relevant UI, API and database baseline identifiers, statuses, counts and balances.
3. Use the documented page/API to verify that invalid password is rejected without account disclosure.
4. Refresh or repeat through an independent client where concurrency, polling or idempotency applies.
5. Compare the outcome, scope, audit fields and side effects with the expected result; capture evidence.</t>
        </is>
      </c>
      <c r="N11" s="4" t="inlineStr">
        <is>
          <t>The operation is refused with a stable, safe error; no unauthorized or partial mutation occurs. Specifically: Invalid password is rejected without account disclosure.</t>
        </is>
      </c>
      <c r="O11" s="4" t="inlineStr">
        <is>
          <t>Reverse only synthetic changes through supported UI/API, or restore the approved isolated snapshot; confirm no residual locks, sessions, occupied tables or stock deltas.</t>
        </is>
      </c>
      <c r="P11" s="4" t="inlineStr">
        <is>
          <t>Yes</t>
        </is>
      </c>
      <c r="Q11" s="4" t="inlineStr">
        <is>
          <t>Timestamped screenshots for UI; request/response with secrets redacted for API; query IDs/counts/balances for transactions; export/build artifact or monitoring trace where applicable.</t>
        </is>
      </c>
      <c r="R11" s="4" t="inlineStr">
        <is>
          <t>Planned / Not Yet Executed</t>
        </is>
      </c>
      <c r="S11" s="4" t="inlineStr"/>
      <c r="T11" s="4" t="inlineStr"/>
      <c r="U11" s="4" t="inlineStr"/>
      <c r="V11" s="4" t="inlineStr"/>
      <c r="W11" s="4" t="inlineStr"/>
      <c r="X11" s="4" t="inlineStr"/>
    </row>
    <row r="12" ht="72" customHeight="1">
      <c r="A12" s="4" t="inlineStr">
        <is>
          <t>AUTH-003</t>
        </is>
      </c>
      <c r="B12" s="4" t="inlineStr">
        <is>
          <t>Authentication &amp; Session</t>
        </is>
      </c>
      <c r="C12" s="4" t="inlineStr">
        <is>
          <t>FR-A01, FR-A02, FR-A04, NFR-03</t>
        </is>
      </c>
      <c r="D12" s="4" t="inlineStr">
        <is>
          <t>Unknown email is rejected with a stable generic error</t>
        </is>
      </c>
      <c r="E12" s="4" t="inlineStr">
        <is>
          <t>Verify, without assuming a pass result, that the release candidate correctly enforces: Unknown email is rejected with a stable generic error.</t>
        </is>
      </c>
      <c r="F12" s="4" t="inlineStr">
        <is>
          <t>Negative</t>
        </is>
      </c>
      <c r="G12" s="4" t="inlineStr">
        <is>
          <t>Medium</t>
        </is>
      </c>
      <c r="H12" s="4" t="inlineStr">
        <is>
          <t>Medium</t>
        </is>
      </c>
      <c r="I12" s="4" t="inlineStr">
        <is>
          <t>Synthetic active and inactive users exist; login endpoint and protected page are available.</t>
        </is>
      </c>
      <c r="J12" s="4" t="inlineStr">
        <is>
          <t>Use only named synthetic records from the Test Data Plan; capture generated IDs and baseline values in evidence. Never use real credentials, customer PII or secrets.</t>
        </is>
      </c>
      <c r="K12" s="4" t="inlineStr">
        <is>
          <t>Any role / Anonymous</t>
        </is>
      </c>
      <c r="L12" s="4" t="inlineStr">
        <is>
          <t>Restaurant A / Branch A1 unless the case explicitly tests another scope</t>
        </is>
      </c>
      <c r="M12" s="4" t="inlineStr">
        <is>
          <t>1. Sign in as Any role / Anonymous, or remain anonymous when the case requires it.
2. Record relevant UI, API and database baseline identifiers, statuses, counts and balances.
3. Use the documented page/API to verify that unknown email is rejected with a stable generic error.
4. Refresh or repeat through an independent client where concurrency, polling or idempotency applies.
5. Compare the outcome, scope, audit fields and side effects with the expected result; capture evidence.</t>
        </is>
      </c>
      <c r="N12" s="4" t="inlineStr">
        <is>
          <t>The operation is refused with a stable, safe error; no unauthorized or partial mutation occurs. Specifically: Unknown email is rejected with a stable generic error.</t>
        </is>
      </c>
      <c r="O12" s="4" t="inlineStr">
        <is>
          <t>Reverse only synthetic changes through supported UI/API, or restore the approved isolated snapshot; confirm no residual locks, sessions, occupied tables or stock deltas.</t>
        </is>
      </c>
      <c r="P12" s="4" t="inlineStr">
        <is>
          <t>Yes</t>
        </is>
      </c>
      <c r="Q12" s="4" t="inlineStr">
        <is>
          <t>Timestamped screenshots for UI; request/response with secrets redacted for API; query IDs/counts/balances for transactions; export/build artifact or monitoring trace where applicable.</t>
        </is>
      </c>
      <c r="R12" s="4" t="inlineStr">
        <is>
          <t>Planned / Not Yet Executed</t>
        </is>
      </c>
      <c r="S12" s="4" t="inlineStr"/>
      <c r="T12" s="4" t="inlineStr"/>
      <c r="U12" s="4" t="inlineStr"/>
      <c r="V12" s="4" t="inlineStr"/>
      <c r="W12" s="4" t="inlineStr"/>
      <c r="X12" s="4" t="inlineStr"/>
    </row>
    <row r="13" ht="72" customHeight="1">
      <c r="A13" s="4" t="inlineStr">
        <is>
          <t>AUTH-004</t>
        </is>
      </c>
      <c r="B13" s="4" t="inlineStr">
        <is>
          <t>Authentication &amp; Session</t>
        </is>
      </c>
      <c r="C13" s="4" t="inlineStr">
        <is>
          <t>FR-A01, FR-A02, FR-A04, NFR-03</t>
        </is>
      </c>
      <c r="D13" s="4" t="inlineStr">
        <is>
          <t>Inactive account cannot authenticate</t>
        </is>
      </c>
      <c r="E13" s="4" t="inlineStr">
        <is>
          <t>Verify, without assuming a pass result, that the release candidate correctly enforces: Inactive account cannot authenticate.</t>
        </is>
      </c>
      <c r="F13" s="4" t="inlineStr">
        <is>
          <t>Negative</t>
        </is>
      </c>
      <c r="G13" s="4" t="inlineStr">
        <is>
          <t>Medium</t>
        </is>
      </c>
      <c r="H13" s="4" t="inlineStr">
        <is>
          <t>Medium</t>
        </is>
      </c>
      <c r="I13" s="4" t="inlineStr">
        <is>
          <t>Synthetic active and inactive users exist; login endpoint and protected page are available.</t>
        </is>
      </c>
      <c r="J13" s="4" t="inlineStr">
        <is>
          <t>Use only named synthetic records from the Test Data Plan; capture generated IDs and baseline values in evidence. Never use real credentials, customer PII or secrets.</t>
        </is>
      </c>
      <c r="K13" s="4" t="inlineStr">
        <is>
          <t>Any role / Anonymous</t>
        </is>
      </c>
      <c r="L13" s="4" t="inlineStr">
        <is>
          <t>Restaurant A / Branch A1 unless the case explicitly tests another scope</t>
        </is>
      </c>
      <c r="M13" s="4" t="inlineStr">
        <is>
          <t>1. Sign in as Any role / Anonymous, or remain anonymous when the case requires it.
2. Record relevant UI, API and database baseline identifiers, statuses, counts and balances.
3. Use the documented page/API to verify that inactive account cannot authenticate.
4. Refresh or repeat through an independent client where concurrency, polling or idempotency applies.
5. Compare the outcome, scope, audit fields and side effects with the expected result; capture evidence.</t>
        </is>
      </c>
      <c r="N13" s="4" t="inlineStr">
        <is>
          <t>The operation is refused with a stable, safe error; no unauthorized or partial mutation occurs. Specifically: Inactive account cannot authenticate.</t>
        </is>
      </c>
      <c r="O13" s="4" t="inlineStr">
        <is>
          <t>Reverse only synthetic changes through supported UI/API, or restore the approved isolated snapshot; confirm no residual locks, sessions, occupied tables or stock deltas.</t>
        </is>
      </c>
      <c r="P13" s="4" t="inlineStr">
        <is>
          <t>Yes</t>
        </is>
      </c>
      <c r="Q13" s="4" t="inlineStr">
        <is>
          <t>Timestamped screenshots for UI; request/response with secrets redacted for API; query IDs/counts/balances for transactions; export/build artifact or monitoring trace where applicable.</t>
        </is>
      </c>
      <c r="R13" s="4" t="inlineStr">
        <is>
          <t>Planned / Not Yet Executed</t>
        </is>
      </c>
      <c r="S13" s="4" t="inlineStr"/>
      <c r="T13" s="4" t="inlineStr"/>
      <c r="U13" s="4" t="inlineStr"/>
      <c r="V13" s="4" t="inlineStr"/>
      <c r="W13" s="4" t="inlineStr"/>
      <c r="X13" s="4" t="inlineStr"/>
    </row>
    <row r="14" ht="72" customHeight="1">
      <c r="A14" s="4" t="inlineStr">
        <is>
          <t>AUTH-005</t>
        </is>
      </c>
      <c r="B14" s="4" t="inlineStr">
        <is>
          <t>Authentication &amp; Session</t>
        </is>
      </c>
      <c r="C14" s="4" t="inlineStr">
        <is>
          <t>FR-A01, FR-A02, FR-A04, NFR-03</t>
        </is>
      </c>
      <c r="D14" s="4" t="inlineStr">
        <is>
          <t>Malformed login payload is rejected</t>
        </is>
      </c>
      <c r="E14" s="4" t="inlineStr">
        <is>
          <t>Verify, without assuming a pass result, that the release candidate correctly enforces: Malformed login payload is rejected.</t>
        </is>
      </c>
      <c r="F14" s="4" t="inlineStr">
        <is>
          <t>Negative</t>
        </is>
      </c>
      <c r="G14" s="4" t="inlineStr">
        <is>
          <t>High</t>
        </is>
      </c>
      <c r="H14" s="4" t="inlineStr">
        <is>
          <t>High</t>
        </is>
      </c>
      <c r="I14" s="4" t="inlineStr">
        <is>
          <t>Synthetic active and inactive users exist; login endpoint and protected page are available.</t>
        </is>
      </c>
      <c r="J14" s="4" t="inlineStr">
        <is>
          <t>Use only named synthetic records from the Test Data Plan; capture generated IDs and baseline values in evidence. Never use real credentials, customer PII or secrets.</t>
        </is>
      </c>
      <c r="K14" s="4" t="inlineStr">
        <is>
          <t>Any role / Anonymous</t>
        </is>
      </c>
      <c r="L14" s="4" t="inlineStr">
        <is>
          <t>Restaurant A / Branch A1 unless the case explicitly tests another scope</t>
        </is>
      </c>
      <c r="M14" s="4" t="inlineStr">
        <is>
          <t>1. Sign in as Any role / Anonymous, or remain anonymous when the case requires it.
2. Record relevant UI, API and database baseline identifiers, statuses, counts and balances.
3. Use the documented page/API to verify that malformed login payload is rejected.
4. Refresh or repeat through an independent client where concurrency, polling or idempotency applies.
5. Compare the outcome, scope, audit fields and side effects with the expected result; capture evidence.</t>
        </is>
      </c>
      <c r="N14" s="4" t="inlineStr">
        <is>
          <t>The operation is refused with a stable, safe error; no unauthorized or partial mutation occurs. Specifically: Malformed login payload is rejected.</t>
        </is>
      </c>
      <c r="O14" s="4" t="inlineStr">
        <is>
          <t>Reverse only synthetic changes through supported UI/API, or restore the approved isolated snapshot; confirm no residual locks, sessions, occupied tables or stock deltas.</t>
        </is>
      </c>
      <c r="P14" s="4" t="inlineStr">
        <is>
          <t>Yes</t>
        </is>
      </c>
      <c r="Q14" s="4" t="inlineStr">
        <is>
          <t>Timestamped screenshots for UI; request/response with secrets redacted for API; query IDs/counts/balances for transactions; export/build artifact or monitoring trace where applicable.</t>
        </is>
      </c>
      <c r="R14" s="4" t="inlineStr">
        <is>
          <t>Planned / Not Yet Executed</t>
        </is>
      </c>
      <c r="S14" s="4" t="inlineStr"/>
      <c r="T14" s="4" t="inlineStr"/>
      <c r="U14" s="4" t="inlineStr"/>
      <c r="V14" s="4" t="inlineStr"/>
      <c r="W14" s="4" t="inlineStr"/>
      <c r="X14" s="4" t="inlineStr"/>
    </row>
    <row r="15" ht="72" customHeight="1">
      <c r="A15" s="4" t="inlineStr">
        <is>
          <t>AUTH-006</t>
        </is>
      </c>
      <c r="B15" s="4" t="inlineStr">
        <is>
          <t>Authentication &amp; Session</t>
        </is>
      </c>
      <c r="C15" s="4" t="inlineStr">
        <is>
          <t>FR-A01, FR-A02, FR-A04, NFR-03</t>
        </is>
      </c>
      <c r="D15" s="4" t="inlineStr">
        <is>
          <t>Protected request without a bearer token is denied</t>
        </is>
      </c>
      <c r="E15" s="4" t="inlineStr">
        <is>
          <t>Verify, without assuming a pass result, that the release candidate correctly enforces: Protected request without a bearer token is denied.</t>
        </is>
      </c>
      <c r="F15" s="4" t="inlineStr">
        <is>
          <t>Negative</t>
        </is>
      </c>
      <c r="G15" s="4" t="inlineStr">
        <is>
          <t>Medium</t>
        </is>
      </c>
      <c r="H15" s="4" t="inlineStr">
        <is>
          <t>Medium</t>
        </is>
      </c>
      <c r="I15" s="4" t="inlineStr">
        <is>
          <t>Synthetic active and inactive users exist; login endpoint and protected page are available.</t>
        </is>
      </c>
      <c r="J15" s="4" t="inlineStr">
        <is>
          <t>Use only named synthetic records from the Test Data Plan; capture generated IDs and baseline values in evidence. Never use real credentials, customer PII or secrets.</t>
        </is>
      </c>
      <c r="K15" s="4" t="inlineStr">
        <is>
          <t>Any role / Anonymous</t>
        </is>
      </c>
      <c r="L15" s="4" t="inlineStr">
        <is>
          <t>Restaurant A / Branch A1 unless the case explicitly tests another scope</t>
        </is>
      </c>
      <c r="M15" s="4" t="inlineStr">
        <is>
          <t>1. Sign in as Any role / Anonymous, or remain anonymous when the case requires it.
2. Record relevant UI, API and database baseline identifiers, statuses, counts and balances.
3. Use the documented page/API to verify that protected request without a bearer token is denied.
4. Refresh or repeat through an independent client where concurrency, polling or idempotency applies.
5. Compare the outcome, scope, audit fields and side effects with the expected result; capture evidence.</t>
        </is>
      </c>
      <c r="N15" s="4" t="inlineStr">
        <is>
          <t>The operation is refused with a stable, safe error; no unauthorized or partial mutation occurs. Specifically: Protected request without a bearer token is denied.</t>
        </is>
      </c>
      <c r="O15" s="4" t="inlineStr">
        <is>
          <t>Reverse only synthetic changes through supported UI/API, or restore the approved isolated snapshot; confirm no residual locks, sessions, occupied tables or stock deltas.</t>
        </is>
      </c>
      <c r="P15" s="4" t="inlineStr">
        <is>
          <t>Yes</t>
        </is>
      </c>
      <c r="Q15" s="4" t="inlineStr">
        <is>
          <t>Timestamped screenshots for UI; request/response with secrets redacted for API; query IDs/counts/balances for transactions; export/build artifact or monitoring trace where applicable.</t>
        </is>
      </c>
      <c r="R15" s="4" t="inlineStr">
        <is>
          <t>Planned / Not Yet Executed</t>
        </is>
      </c>
      <c r="S15" s="4" t="inlineStr"/>
      <c r="T15" s="4" t="inlineStr"/>
      <c r="U15" s="4" t="inlineStr"/>
      <c r="V15" s="4" t="inlineStr"/>
      <c r="W15" s="4" t="inlineStr"/>
      <c r="X15" s="4" t="inlineStr"/>
    </row>
    <row r="16" ht="72" customHeight="1">
      <c r="A16" s="4" t="inlineStr">
        <is>
          <t>AUTH-007</t>
        </is>
      </c>
      <c r="B16" s="4" t="inlineStr">
        <is>
          <t>Authentication &amp; Session</t>
        </is>
      </c>
      <c r="C16" s="4" t="inlineStr">
        <is>
          <t>FR-A01, FR-A02, FR-A04, NFR-03</t>
        </is>
      </c>
      <c r="D16" s="4" t="inlineStr">
        <is>
          <t>Protected request with a malformed token is denied</t>
        </is>
      </c>
      <c r="E16" s="4" t="inlineStr">
        <is>
          <t>Verify, without assuming a pass result, that the release candidate correctly enforces: Protected request with a malformed token is denied.</t>
        </is>
      </c>
      <c r="F16" s="4" t="inlineStr">
        <is>
          <t>Negative</t>
        </is>
      </c>
      <c r="G16" s="4" t="inlineStr">
        <is>
          <t>Medium</t>
        </is>
      </c>
      <c r="H16" s="4" t="inlineStr">
        <is>
          <t>Medium</t>
        </is>
      </c>
      <c r="I16" s="4" t="inlineStr">
        <is>
          <t>Synthetic active and inactive users exist; login endpoint and protected page are available.</t>
        </is>
      </c>
      <c r="J16" s="4" t="inlineStr">
        <is>
          <t>Use only named synthetic records from the Test Data Plan; capture generated IDs and baseline values in evidence. Never use real credentials, customer PII or secrets.</t>
        </is>
      </c>
      <c r="K16" s="4" t="inlineStr">
        <is>
          <t>Any role / Anonymous</t>
        </is>
      </c>
      <c r="L16" s="4" t="inlineStr">
        <is>
          <t>Restaurant A / Branch A1 unless the case explicitly tests another scope</t>
        </is>
      </c>
      <c r="M16" s="4" t="inlineStr">
        <is>
          <t>1. Sign in as Any role / Anonymous, or remain anonymous when the case requires it.
2. Record relevant UI, API and database baseline identifiers, statuses, counts and balances.
3. Use the documented page/API to verify that protected request with a malformed token is denied.
4. Refresh or repeat through an independent client where concurrency, polling or idempotency applies.
5. Compare the outcome, scope, audit fields and side effects with the expected result; capture evidence.</t>
        </is>
      </c>
      <c r="N16" s="4" t="inlineStr">
        <is>
          <t>The operation is refused with a stable, safe error; no unauthorized or partial mutation occurs. Specifically: Protected request with a malformed token is denied.</t>
        </is>
      </c>
      <c r="O16" s="4" t="inlineStr">
        <is>
          <t>Reverse only synthetic changes through supported UI/API, or restore the approved isolated snapshot; confirm no residual locks, sessions, occupied tables or stock deltas.</t>
        </is>
      </c>
      <c r="P16" s="4" t="inlineStr">
        <is>
          <t>Yes</t>
        </is>
      </c>
      <c r="Q16" s="4" t="inlineStr">
        <is>
          <t>Timestamped screenshots for UI; request/response with secrets redacted for API; query IDs/counts/balances for transactions; export/build artifact or monitoring trace where applicable.</t>
        </is>
      </c>
      <c r="R16" s="4" t="inlineStr">
        <is>
          <t>Planned / Not Yet Executed</t>
        </is>
      </c>
      <c r="S16" s="4" t="inlineStr"/>
      <c r="T16" s="4" t="inlineStr"/>
      <c r="U16" s="4" t="inlineStr"/>
      <c r="V16" s="4" t="inlineStr"/>
      <c r="W16" s="4" t="inlineStr"/>
      <c r="X16" s="4" t="inlineStr"/>
    </row>
    <row r="17" ht="72" customHeight="1">
      <c r="A17" s="4" t="inlineStr">
        <is>
          <t>AUTH-008</t>
        </is>
      </c>
      <c r="B17" s="4" t="inlineStr">
        <is>
          <t>Authentication &amp; Session</t>
        </is>
      </c>
      <c r="C17" s="4" t="inlineStr">
        <is>
          <t>FR-A01, FR-A02, FR-A04, NFR-03</t>
        </is>
      </c>
      <c r="D17" s="4" t="inlineStr">
        <is>
          <t>Expired token ends the browser session</t>
        </is>
      </c>
      <c r="E17" s="4" t="inlineStr">
        <is>
          <t>Verify, without assuming a pass result, that the release candidate correctly enforces: Expired token ends the browser session.</t>
        </is>
      </c>
      <c r="F17" s="4" t="inlineStr">
        <is>
          <t>Positive</t>
        </is>
      </c>
      <c r="G17" s="4" t="inlineStr">
        <is>
          <t>Medium</t>
        </is>
      </c>
      <c r="H17" s="4" t="inlineStr">
        <is>
          <t>Medium</t>
        </is>
      </c>
      <c r="I17" s="4" t="inlineStr">
        <is>
          <t>Synthetic active and inactive users exist; login endpoint and protected page are available.</t>
        </is>
      </c>
      <c r="J17" s="4" t="inlineStr">
        <is>
          <t>Use only named synthetic records from the Test Data Plan; capture generated IDs and baseline values in evidence. Never use real credentials, customer PII or secrets.</t>
        </is>
      </c>
      <c r="K17" s="4" t="inlineStr">
        <is>
          <t>Any role / Anonymous</t>
        </is>
      </c>
      <c r="L17" s="4" t="inlineStr">
        <is>
          <t>Restaurant A / Branch A1 unless the case explicitly tests another scope</t>
        </is>
      </c>
      <c r="M17" s="4" t="inlineStr">
        <is>
          <t>1. Sign in as Any role / Anonymous, or remain anonymous when the case requires it.
2. Record relevant UI, API and database baseline identifiers, statuses, counts and balances.
3. Use the documented page/API to verify that expired token ends the browser session.
4. Refresh or repeat through an independent client where concurrency, polling or idempotency applies.
5. Compare the outcome, scope, audit fields and side effects with the expected result; capture evidence.</t>
        </is>
      </c>
      <c r="N17" s="4" t="inlineStr">
        <is>
          <t>The release candidate demonstrates the specified behavior exactly and only within the actor's authorized scope: Expired token ends the browser session. No unrelated record changes.</t>
        </is>
      </c>
      <c r="O17" s="4" t="inlineStr">
        <is>
          <t>Reverse only synthetic changes through supported UI/API, or restore the approved isolated snapshot; confirm no residual locks, sessions, occupied tables or stock deltas.</t>
        </is>
      </c>
      <c r="P17" s="4" t="inlineStr">
        <is>
          <t>Yes</t>
        </is>
      </c>
      <c r="Q17" s="4" t="inlineStr">
        <is>
          <t>Timestamped screenshots for UI; request/response with secrets redacted for API; query IDs/counts/balances for transactions; export/build artifact or monitoring trace where applicable.</t>
        </is>
      </c>
      <c r="R17" s="4" t="inlineStr">
        <is>
          <t>Planned / Not Yet Executed</t>
        </is>
      </c>
      <c r="S17" s="4" t="inlineStr"/>
      <c r="T17" s="4" t="inlineStr"/>
      <c r="U17" s="4" t="inlineStr"/>
      <c r="V17" s="4" t="inlineStr"/>
      <c r="W17" s="4" t="inlineStr"/>
      <c r="X17" s="4" t="inlineStr"/>
    </row>
    <row r="18" ht="72" customHeight="1">
      <c r="A18" s="4" t="inlineStr">
        <is>
          <t>AUTH-009</t>
        </is>
      </c>
      <c r="B18" s="4" t="inlineStr">
        <is>
          <t>Authentication &amp; Session</t>
        </is>
      </c>
      <c r="C18" s="4" t="inlineStr">
        <is>
          <t>FR-A01, FR-A02, FR-A04, NFR-03</t>
        </is>
      </c>
      <c r="D18" s="4" t="inlineStr">
        <is>
          <t>Token persists across an intentional browser refresh</t>
        </is>
      </c>
      <c r="E18" s="4" t="inlineStr">
        <is>
          <t>Verify, without assuming a pass result, that the release candidate correctly enforces: Token persists across an intentional browser refresh.</t>
        </is>
      </c>
      <c r="F18" s="4" t="inlineStr">
        <is>
          <t>Positive</t>
        </is>
      </c>
      <c r="G18" s="4" t="inlineStr">
        <is>
          <t>Medium</t>
        </is>
      </c>
      <c r="H18" s="4" t="inlineStr">
        <is>
          <t>Medium</t>
        </is>
      </c>
      <c r="I18" s="4" t="inlineStr">
        <is>
          <t>Synthetic active and inactive users exist; login endpoint and protected page are available.</t>
        </is>
      </c>
      <c r="J18" s="4" t="inlineStr">
        <is>
          <t>Use only named synthetic records from the Test Data Plan; capture generated IDs and baseline values in evidence. Never use real credentials, customer PII or secrets.</t>
        </is>
      </c>
      <c r="K18" s="4" t="inlineStr">
        <is>
          <t>Any role / Anonymous</t>
        </is>
      </c>
      <c r="L18" s="4" t="inlineStr">
        <is>
          <t>Restaurant A / Branch A1 unless the case explicitly tests another scope</t>
        </is>
      </c>
      <c r="M18" s="4" t="inlineStr">
        <is>
          <t>1. Sign in as Any role / Anonymous, or remain anonymous when the case requires it.
2. Record relevant UI, API and database baseline identifiers, statuses, counts and balances.
3. Use the documented page/API to verify that token persists across an intentional browser refresh.
4. Refresh or repeat through an independent client where concurrency, polling or idempotency applies.
5. Compare the outcome, scope, audit fields and side effects with the expected result; capture evidence.</t>
        </is>
      </c>
      <c r="N18" s="4" t="inlineStr">
        <is>
          <t>The release candidate demonstrates the specified behavior exactly and only within the actor's authorized scope: Token persists across an intentional browser refresh. No unrelated record changes.</t>
        </is>
      </c>
      <c r="O18" s="4" t="inlineStr">
        <is>
          <t>Reverse only synthetic changes through supported UI/API, or restore the approved isolated snapshot; confirm no residual locks, sessions, occupied tables or stock deltas.</t>
        </is>
      </c>
      <c r="P18" s="4" t="inlineStr">
        <is>
          <t>Yes</t>
        </is>
      </c>
      <c r="Q18" s="4" t="inlineStr">
        <is>
          <t>Timestamped screenshots for UI; request/response with secrets redacted for API; query IDs/counts/balances for transactions; export/build artifact or monitoring trace where applicable.</t>
        </is>
      </c>
      <c r="R18" s="4" t="inlineStr">
        <is>
          <t>Planned / Not Yet Executed</t>
        </is>
      </c>
      <c r="S18" s="4" t="inlineStr"/>
      <c r="T18" s="4" t="inlineStr"/>
      <c r="U18" s="4" t="inlineStr"/>
      <c r="V18" s="4" t="inlineStr"/>
      <c r="W18" s="4" t="inlineStr"/>
      <c r="X18" s="4" t="inlineStr"/>
    </row>
    <row r="19" ht="72" customHeight="1">
      <c r="A19" s="4" t="inlineStr">
        <is>
          <t>AUTH-010</t>
        </is>
      </c>
      <c r="B19" s="4" t="inlineStr">
        <is>
          <t>Authentication &amp; Session</t>
        </is>
      </c>
      <c r="C19" s="4" t="inlineStr">
        <is>
          <t>FR-A01, FR-A02, FR-A04, NFR-03</t>
        </is>
      </c>
      <c r="D19" s="4" t="inlineStr">
        <is>
          <t>Logout clears local session and protected navigation</t>
        </is>
      </c>
      <c r="E19" s="4" t="inlineStr">
        <is>
          <t>Verify, without assuming a pass result, that the release candidate correctly enforces: Logout clears local session and protected navigation.</t>
        </is>
      </c>
      <c r="F19" s="4" t="inlineStr">
        <is>
          <t>Positive</t>
        </is>
      </c>
      <c r="G19" s="4" t="inlineStr">
        <is>
          <t>Medium</t>
        </is>
      </c>
      <c r="H19" s="4" t="inlineStr">
        <is>
          <t>Medium</t>
        </is>
      </c>
      <c r="I19" s="4" t="inlineStr">
        <is>
          <t>Synthetic active and inactive users exist; login endpoint and protected page are available.</t>
        </is>
      </c>
      <c r="J19" s="4" t="inlineStr">
        <is>
          <t>Use only named synthetic records from the Test Data Plan; capture generated IDs and baseline values in evidence. Never use real credentials, customer PII or secrets.</t>
        </is>
      </c>
      <c r="K19" s="4" t="inlineStr">
        <is>
          <t>Any role / Anonymous</t>
        </is>
      </c>
      <c r="L19" s="4" t="inlineStr">
        <is>
          <t>Restaurant A / Branch A1 unless the case explicitly tests another scope</t>
        </is>
      </c>
      <c r="M19" s="4" t="inlineStr">
        <is>
          <t>1. Sign in as Any role / Anonymous, or remain anonymous when the case requires it.
2. Record relevant UI, API and database baseline identifiers, statuses, counts and balances.
3. Use the documented page/API to verify that logout clears local session and protected navigation.
4. Refresh or repeat through an independent client where concurrency, polling or idempotency applies.
5. Compare the outcome, scope, audit fields and side effects with the expected result; capture evidence.</t>
        </is>
      </c>
      <c r="N19" s="4" t="inlineStr">
        <is>
          <t>The release candidate demonstrates the specified behavior exactly and only within the actor's authorized scope: Logout clears local session and protected navigation. No unrelated record changes.</t>
        </is>
      </c>
      <c r="O19" s="4" t="inlineStr">
        <is>
          <t>Reverse only synthetic changes through supported UI/API, or restore the approved isolated snapshot; confirm no residual locks, sessions, occupied tables or stock deltas.</t>
        </is>
      </c>
      <c r="P19" s="4" t="inlineStr">
        <is>
          <t>Yes</t>
        </is>
      </c>
      <c r="Q19" s="4" t="inlineStr">
        <is>
          <t>Timestamped screenshots for UI; request/response with secrets redacted for API; query IDs/counts/balances for transactions; export/build artifact or monitoring trace where applicable.</t>
        </is>
      </c>
      <c r="R19" s="4" t="inlineStr">
        <is>
          <t>Planned / Not Yet Executed</t>
        </is>
      </c>
      <c r="S19" s="4" t="inlineStr"/>
      <c r="T19" s="4" t="inlineStr"/>
      <c r="U19" s="4" t="inlineStr"/>
      <c r="V19" s="4" t="inlineStr"/>
      <c r="W19" s="4" t="inlineStr"/>
      <c r="X19" s="4" t="inlineStr"/>
    </row>
    <row r="20" ht="72" customHeight="1">
      <c r="A20" s="4" t="inlineStr">
        <is>
          <t>AUTH-011</t>
        </is>
      </c>
      <c r="B20" s="4" t="inlineStr">
        <is>
          <t>Authentication &amp; Session</t>
        </is>
      </c>
      <c r="C20" s="4" t="inlineStr">
        <is>
          <t>FR-A01, FR-A02, FR-A04, NFR-03</t>
        </is>
      </c>
      <c r="D20" s="4" t="inlineStr">
        <is>
          <t>Old token cannot regain access after logout or expiry policy</t>
        </is>
      </c>
      <c r="E20" s="4" t="inlineStr">
        <is>
          <t>Verify, without assuming a pass result, that the release candidate correctly enforces: Old token cannot regain access after logout or expiry policy.</t>
        </is>
      </c>
      <c r="F20" s="4" t="inlineStr">
        <is>
          <t>Negative</t>
        </is>
      </c>
      <c r="G20" s="4" t="inlineStr">
        <is>
          <t>Medium</t>
        </is>
      </c>
      <c r="H20" s="4" t="inlineStr">
        <is>
          <t>Medium</t>
        </is>
      </c>
      <c r="I20" s="4" t="inlineStr">
        <is>
          <t>Synthetic active and inactive users exist; login endpoint and protected page are available.</t>
        </is>
      </c>
      <c r="J20" s="4" t="inlineStr">
        <is>
          <t>Use only named synthetic records from the Test Data Plan; capture generated IDs and baseline values in evidence. Never use real credentials, customer PII or secrets.</t>
        </is>
      </c>
      <c r="K20" s="4" t="inlineStr">
        <is>
          <t>Any role / Anonymous</t>
        </is>
      </c>
      <c r="L20" s="4" t="inlineStr">
        <is>
          <t>Restaurant A / Branch A1 unless the case explicitly tests another scope</t>
        </is>
      </c>
      <c r="M20" s="4" t="inlineStr">
        <is>
          <t>1. Sign in as Any role / Anonymous, or remain anonymous when the case requires it.
2. Record relevant UI, API and database baseline identifiers, statuses, counts and balances.
3. Use the documented page/API to verify that old token cannot regain access after logout or expiry policy.
4. Refresh or repeat through an independent client where concurrency, polling or idempotency applies.
5. Compare the outcome, scope, audit fields and side effects with the expected result; capture evidence.</t>
        </is>
      </c>
      <c r="N20" s="4" t="inlineStr">
        <is>
          <t>The operation is refused with a stable, safe error; no unauthorized or partial mutation occurs. Specifically: Old token cannot regain access after logout or expiry policy.</t>
        </is>
      </c>
      <c r="O20" s="4" t="inlineStr">
        <is>
          <t>Reverse only synthetic changes through supported UI/API, or restore the approved isolated snapshot; confirm no residual locks, sessions, occupied tables or stock deltas.</t>
        </is>
      </c>
      <c r="P20" s="4" t="inlineStr">
        <is>
          <t>Yes</t>
        </is>
      </c>
      <c r="Q20" s="4" t="inlineStr">
        <is>
          <t>Timestamped screenshots for UI; request/response with secrets redacted for API; query IDs/counts/balances for transactions; export/build artifact or monitoring trace where applicable.</t>
        </is>
      </c>
      <c r="R20" s="4" t="inlineStr">
        <is>
          <t>Planned / Not Yet Executed</t>
        </is>
      </c>
      <c r="S20" s="4" t="inlineStr"/>
      <c r="T20" s="4" t="inlineStr"/>
      <c r="U20" s="4" t="inlineStr"/>
      <c r="V20" s="4" t="inlineStr"/>
      <c r="W20" s="4" t="inlineStr"/>
      <c r="X20" s="4" t="inlineStr"/>
    </row>
    <row r="21" ht="72" customHeight="1">
      <c r="A21" s="4" t="inlineStr">
        <is>
          <t>AUTH-012</t>
        </is>
      </c>
      <c r="B21" s="4" t="inlineStr">
        <is>
          <t>Authentication &amp; Session</t>
        </is>
      </c>
      <c r="C21" s="4" t="inlineStr">
        <is>
          <t>FR-A01, FR-A02, FR-A04, NFR-03</t>
        </is>
      </c>
      <c r="D21" s="4" t="inlineStr">
        <is>
          <t>Repeated login failures are throttled or recorded as a security gap</t>
        </is>
      </c>
      <c r="E21" s="4" t="inlineStr">
        <is>
          <t>Verify, without assuming a pass result, that the release candidate correctly enforces: Repeated login failures are throttled or recorded as a security gap.</t>
        </is>
      </c>
      <c r="F21" s="4" t="inlineStr">
        <is>
          <t>Negative</t>
        </is>
      </c>
      <c r="G21" s="4" t="inlineStr">
        <is>
          <t>High</t>
        </is>
      </c>
      <c r="H21" s="4" t="inlineStr">
        <is>
          <t>High</t>
        </is>
      </c>
      <c r="I21" s="4" t="inlineStr">
        <is>
          <t>Synthetic active and inactive users exist; login endpoint and protected page are available.</t>
        </is>
      </c>
      <c r="J21" s="4" t="inlineStr">
        <is>
          <t>Use only named synthetic records from the Test Data Plan; capture generated IDs and baseline values in evidence. Never use real credentials, customer PII or secrets.</t>
        </is>
      </c>
      <c r="K21" s="4" t="inlineStr">
        <is>
          <t>Any role / Anonymous</t>
        </is>
      </c>
      <c r="L21" s="4" t="inlineStr">
        <is>
          <t>Restaurant A / Branch A1 unless the case explicitly tests another scope</t>
        </is>
      </c>
      <c r="M21" s="4" t="inlineStr">
        <is>
          <t>1. Sign in as Any role / Anonymous, or remain anonymous when the case requires it.
2. Record relevant UI, API and database baseline identifiers, statuses, counts and balances.
3. Use the documented page/API to verify that repeated login failures are throttled or recorded as a security gap.
4. Refresh or repeat through an independent client where concurrency, polling or idempotency applies.
5. Compare the outcome, scope, audit fields and side effects with the expected result; capture evidence.</t>
        </is>
      </c>
      <c r="N21" s="4" t="inlineStr">
        <is>
          <t>The operation is refused with a stable, safe error; no unauthorized or partial mutation occurs. Specifically: Repeated login failures are throttled or recorded as a security gap.</t>
        </is>
      </c>
      <c r="O21" s="4" t="inlineStr">
        <is>
          <t>Reverse only synthetic changes through supported UI/API, or restore the approved isolated snapshot; confirm no residual locks, sessions, occupied tables or stock deltas.</t>
        </is>
      </c>
      <c r="P21" s="4" t="inlineStr">
        <is>
          <t>Yes</t>
        </is>
      </c>
      <c r="Q21" s="4" t="inlineStr">
        <is>
          <t>Timestamped screenshots for UI; request/response with secrets redacted for API; query IDs/counts/balances for transactions; export/build artifact or monitoring trace where applicable.</t>
        </is>
      </c>
      <c r="R21" s="4" t="inlineStr">
        <is>
          <t>Planned / Not Yet Executed</t>
        </is>
      </c>
      <c r="S21" s="4" t="inlineStr"/>
      <c r="T21" s="4" t="inlineStr"/>
      <c r="U21" s="4" t="inlineStr"/>
      <c r="V21" s="4" t="inlineStr"/>
      <c r="W21" s="4" t="inlineStr"/>
      <c r="X21" s="4" t="inlineStr"/>
    </row>
    <row r="22" ht="72" customHeight="1">
      <c r="A22" s="4" t="inlineStr">
        <is>
          <t>RBAC-001</t>
        </is>
      </c>
      <c r="B22" s="4" t="inlineStr">
        <is>
          <t>Role &amp; Access Control</t>
        </is>
      </c>
      <c r="C22" s="4" t="inlineStr">
        <is>
          <t>FR-A02, FR-A03, NFR-10</t>
        </is>
      </c>
      <c r="D22" s="4" t="inlineStr">
        <is>
          <t>Admin receives intended full administrative navigation</t>
        </is>
      </c>
      <c r="E22" s="4" t="inlineStr">
        <is>
          <t>Verify, without assuming a pass result, that the release candidate correctly enforces: Admin receives intended full administrative navigation.</t>
        </is>
      </c>
      <c r="F22" s="4" t="inlineStr">
        <is>
          <t>Positive</t>
        </is>
      </c>
      <c r="G22" s="4" t="inlineStr">
        <is>
          <t>Medium</t>
        </is>
      </c>
      <c r="H22" s="4" t="inlineStr">
        <is>
          <t>Medium</t>
        </is>
      </c>
      <c r="I22" s="4" t="inlineStr">
        <is>
          <t>Synthetic account exists for every role; direct API client is available for authorization checks.</t>
        </is>
      </c>
      <c r="J22" s="4" t="inlineStr">
        <is>
          <t>Use only named synthetic records from the Test Data Plan; capture generated IDs and baseline values in evidence. Never use real credentials, customer PII or secrets.</t>
        </is>
      </c>
      <c r="K22" s="4" t="inlineStr">
        <is>
          <t>All roles</t>
        </is>
      </c>
      <c r="L22" s="4" t="inlineStr">
        <is>
          <t>Restaurant A / Branch A1 unless the case explicitly tests another scope</t>
        </is>
      </c>
      <c r="M22" s="4" t="inlineStr">
        <is>
          <t>1. Sign in as All roles, or remain anonymous when the case requires it.
2. Record relevant UI, API and database baseline identifiers, statuses, counts and balances.
3. Use the documented page/API to verify that admin receives intended full administrative navigation.
4. Refresh or repeat through an independent client where concurrency, polling or idempotency applies.
5. Compare the outcome, scope, audit fields and side effects with the expected result; capture evidence.</t>
        </is>
      </c>
      <c r="N22" s="4" t="inlineStr">
        <is>
          <t>The release candidate demonstrates the specified behavior exactly and only within the actor's authorized scope: Admin receives intended full administrative navigation. No unrelated record changes.</t>
        </is>
      </c>
      <c r="O22" s="4" t="inlineStr">
        <is>
          <t>Reverse only synthetic changes through supported UI/API, or restore the approved isolated snapshot; confirm no residual locks, sessions, occupied tables or stock deltas.</t>
        </is>
      </c>
      <c r="P22" s="4" t="inlineStr">
        <is>
          <t>Yes</t>
        </is>
      </c>
      <c r="Q22" s="4" t="inlineStr">
        <is>
          <t>Timestamped screenshots for UI; request/response with secrets redacted for API; query IDs/counts/balances for transactions; export/build artifact or monitoring trace where applicable.</t>
        </is>
      </c>
      <c r="R22" s="4" t="inlineStr">
        <is>
          <t>Planned / Not Yet Executed</t>
        </is>
      </c>
      <c r="S22" s="4" t="inlineStr"/>
      <c r="T22" s="4" t="inlineStr"/>
      <c r="U22" s="4" t="inlineStr"/>
      <c r="V22" s="4" t="inlineStr"/>
      <c r="W22" s="4" t="inlineStr"/>
      <c r="X22" s="4" t="inlineStr"/>
    </row>
    <row r="23" ht="72" customHeight="1">
      <c r="A23" s="4" t="inlineStr">
        <is>
          <t>RBAC-002</t>
        </is>
      </c>
      <c r="B23" s="4" t="inlineStr">
        <is>
          <t>Role &amp; Access Control</t>
        </is>
      </c>
      <c r="C23" s="4" t="inlineStr">
        <is>
          <t>FR-A02, FR-A03, NFR-10</t>
        </is>
      </c>
      <c r="D23" s="4" t="inlineStr">
        <is>
          <t>Owner receives restaurant-wide management access</t>
        </is>
      </c>
      <c r="E23" s="4" t="inlineStr">
        <is>
          <t>Verify, without assuming a pass result, that the release candidate correctly enforces: Owner receives restaurant-wide management access.</t>
        </is>
      </c>
      <c r="F23" s="4" t="inlineStr">
        <is>
          <t>Positive</t>
        </is>
      </c>
      <c r="G23" s="4" t="inlineStr">
        <is>
          <t>Medium</t>
        </is>
      </c>
      <c r="H23" s="4" t="inlineStr">
        <is>
          <t>Medium</t>
        </is>
      </c>
      <c r="I23" s="4" t="inlineStr">
        <is>
          <t>Synthetic account exists for every role; direct API client is available for authorization checks.</t>
        </is>
      </c>
      <c r="J23" s="4" t="inlineStr">
        <is>
          <t>Use only named synthetic records from the Test Data Plan; capture generated IDs and baseline values in evidence. Never use real credentials, customer PII or secrets.</t>
        </is>
      </c>
      <c r="K23" s="4" t="inlineStr">
        <is>
          <t>All roles</t>
        </is>
      </c>
      <c r="L23" s="4" t="inlineStr">
        <is>
          <t>Restaurant A / Branch A1 unless the case explicitly tests another scope</t>
        </is>
      </c>
      <c r="M23" s="4" t="inlineStr">
        <is>
          <t>1. Sign in as All roles, or remain anonymous when the case requires it.
2. Record relevant UI, API and database baseline identifiers, statuses, counts and balances.
3. Use the documented page/API to verify that owner receives restaurant-wide management access.
4. Refresh or repeat through an independent client where concurrency, polling or idempotency applies.
5. Compare the outcome, scope, audit fields and side effects with the expected result; capture evidence.</t>
        </is>
      </c>
      <c r="N23" s="4" t="inlineStr">
        <is>
          <t>The release candidate demonstrates the specified behavior exactly and only within the actor's authorized scope: Owner receives restaurant-wide management access. No unrelated record changes.</t>
        </is>
      </c>
      <c r="O23" s="4" t="inlineStr">
        <is>
          <t>Reverse only synthetic changes through supported UI/API, or restore the approved isolated snapshot; confirm no residual locks, sessions, occupied tables or stock deltas.</t>
        </is>
      </c>
      <c r="P23" s="4" t="inlineStr">
        <is>
          <t>Yes</t>
        </is>
      </c>
      <c r="Q23" s="4" t="inlineStr">
        <is>
          <t>Timestamped screenshots for UI; request/response with secrets redacted for API; query IDs/counts/balances for transactions; export/build artifact or monitoring trace where applicable.</t>
        </is>
      </c>
      <c r="R23" s="4" t="inlineStr">
        <is>
          <t>Planned / Not Yet Executed</t>
        </is>
      </c>
      <c r="S23" s="4" t="inlineStr"/>
      <c r="T23" s="4" t="inlineStr"/>
      <c r="U23" s="4" t="inlineStr"/>
      <c r="V23" s="4" t="inlineStr"/>
      <c r="W23" s="4" t="inlineStr"/>
      <c r="X23" s="4" t="inlineStr"/>
    </row>
    <row r="24" ht="72" customHeight="1">
      <c r="A24" s="4" t="inlineStr">
        <is>
          <t>RBAC-003</t>
        </is>
      </c>
      <c r="B24" s="4" t="inlineStr">
        <is>
          <t>Role &amp; Access Control</t>
        </is>
      </c>
      <c r="C24" s="4" t="inlineStr">
        <is>
          <t>FR-A02, FR-A03, NFR-10</t>
        </is>
      </c>
      <c r="D24" s="4" t="inlineStr">
        <is>
          <t>Manager access is limited to the assigned branch where required</t>
        </is>
      </c>
      <c r="E24" s="4" t="inlineStr">
        <is>
          <t>Verify, without assuming a pass result, that the release candidate correctly enforces: Manager access is limited to the assigned branch where required.</t>
        </is>
      </c>
      <c r="F24" s="4" t="inlineStr">
        <is>
          <t>Positive</t>
        </is>
      </c>
      <c r="G24" s="4" t="inlineStr">
        <is>
          <t>Medium</t>
        </is>
      </c>
      <c r="H24" s="4" t="inlineStr">
        <is>
          <t>Medium</t>
        </is>
      </c>
      <c r="I24" s="4" t="inlineStr">
        <is>
          <t>Synthetic account exists for every role; direct API client is available for authorization checks.</t>
        </is>
      </c>
      <c r="J24" s="4" t="inlineStr">
        <is>
          <t>Use only named synthetic records from the Test Data Plan; capture generated IDs and baseline values in evidence. Never use real credentials, customer PII or secrets.</t>
        </is>
      </c>
      <c r="K24" s="4" t="inlineStr">
        <is>
          <t>All roles</t>
        </is>
      </c>
      <c r="L24" s="4" t="inlineStr">
        <is>
          <t>Restaurant A / Branch A1 unless the case explicitly tests another scope</t>
        </is>
      </c>
      <c r="M24" s="4" t="inlineStr">
        <is>
          <t>1. Sign in as All roles, or remain anonymous when the case requires it.
2. Record relevant UI, API and database baseline identifiers, statuses, counts and balances.
3. Use the documented page/API to verify that manager access is limited to the assigned branch where required.
4. Refresh or repeat through an independent client where concurrency, polling or idempotency applies.
5. Compare the outcome, scope, audit fields and side effects with the expected result; capture evidence.</t>
        </is>
      </c>
      <c r="N24" s="4" t="inlineStr">
        <is>
          <t>The release candidate demonstrates the specified behavior exactly and only within the actor's authorized scope: Manager access is limited to the assigned branch where required. No unrelated record changes.</t>
        </is>
      </c>
      <c r="O24" s="4" t="inlineStr">
        <is>
          <t>Reverse only synthetic changes through supported UI/API, or restore the approved isolated snapshot; confirm no residual locks, sessions, occupied tables or stock deltas.</t>
        </is>
      </c>
      <c r="P24" s="4" t="inlineStr">
        <is>
          <t>Yes</t>
        </is>
      </c>
      <c r="Q24" s="4" t="inlineStr">
        <is>
          <t>Timestamped screenshots for UI; request/response with secrets redacted for API; query IDs/counts/balances for transactions; export/build artifact or monitoring trace where applicable.</t>
        </is>
      </c>
      <c r="R24" s="4" t="inlineStr">
        <is>
          <t>Planned / Not Yet Executed</t>
        </is>
      </c>
      <c r="S24" s="4" t="inlineStr"/>
      <c r="T24" s="4" t="inlineStr"/>
      <c r="U24" s="4" t="inlineStr"/>
      <c r="V24" s="4" t="inlineStr"/>
      <c r="W24" s="4" t="inlineStr"/>
      <c r="X24" s="4" t="inlineStr"/>
    </row>
    <row r="25" ht="72" customHeight="1">
      <c r="A25" s="4" t="inlineStr">
        <is>
          <t>RBAC-004</t>
        </is>
      </c>
      <c r="B25" s="4" t="inlineStr">
        <is>
          <t>Role &amp; Access Control</t>
        </is>
      </c>
      <c r="C25" s="4" t="inlineStr">
        <is>
          <t>FR-A02, FR-A03, NFR-10</t>
        </is>
      </c>
      <c r="D25" s="4" t="inlineStr">
        <is>
          <t>Coordinator can confirm assign and cancel but cannot administer staff</t>
        </is>
      </c>
      <c r="E25" s="4" t="inlineStr">
        <is>
          <t>Verify, without assuming a pass result, that the release candidate correctly enforces: Coordinator can confirm assign and cancel but cannot administer staff.</t>
        </is>
      </c>
      <c r="F25" s="4" t="inlineStr">
        <is>
          <t>Negative</t>
        </is>
      </c>
      <c r="G25" s="4" t="inlineStr">
        <is>
          <t>Medium</t>
        </is>
      </c>
      <c r="H25" s="4" t="inlineStr">
        <is>
          <t>Medium</t>
        </is>
      </c>
      <c r="I25" s="4" t="inlineStr">
        <is>
          <t>Synthetic account exists for every role; direct API client is available for authorization checks.</t>
        </is>
      </c>
      <c r="J25" s="4" t="inlineStr">
        <is>
          <t>Use only named synthetic records from the Test Data Plan; capture generated IDs and baseline values in evidence. Never use real credentials, customer PII or secrets.</t>
        </is>
      </c>
      <c r="K25" s="4" t="inlineStr">
        <is>
          <t>All roles</t>
        </is>
      </c>
      <c r="L25" s="4" t="inlineStr">
        <is>
          <t>Restaurant A / Branch A1 unless the case explicitly tests another scope</t>
        </is>
      </c>
      <c r="M25" s="4" t="inlineStr">
        <is>
          <t>1. Sign in as All roles, or remain anonymous when the case requires it.
2. Record relevant UI, API and database baseline identifiers, statuses, counts and balances.
3. Use the documented page/API to verify that coordinator can confirm assign and cancel but cannot administer staff.
4. Refresh or repeat through an independent client where concurrency, polling or idempotency applies.
5. Compare the outcome, scope, audit fields and side effects with the expected result; capture evidence.</t>
        </is>
      </c>
      <c r="N25" s="4" t="inlineStr">
        <is>
          <t>The operation is refused with a stable, safe error; no unauthorized or partial mutation occurs. Specifically: Coordinator can confirm assign and cancel but cannot administer staff.</t>
        </is>
      </c>
      <c r="O25" s="4" t="inlineStr">
        <is>
          <t>Reverse only synthetic changes through supported UI/API, or restore the approved isolated snapshot; confirm no residual locks, sessions, occupied tables or stock deltas.</t>
        </is>
      </c>
      <c r="P25" s="4" t="inlineStr">
        <is>
          <t>Yes</t>
        </is>
      </c>
      <c r="Q25" s="4" t="inlineStr">
        <is>
          <t>Timestamped screenshots for UI; request/response with secrets redacted for API; query IDs/counts/balances for transactions; export/build artifact or monitoring trace where applicable.</t>
        </is>
      </c>
      <c r="R25" s="4" t="inlineStr">
        <is>
          <t>Planned / Not Yet Executed</t>
        </is>
      </c>
      <c r="S25" s="4" t="inlineStr"/>
      <c r="T25" s="4" t="inlineStr"/>
      <c r="U25" s="4" t="inlineStr"/>
      <c r="V25" s="4" t="inlineStr"/>
      <c r="W25" s="4" t="inlineStr"/>
      <c r="X25" s="4" t="inlineStr"/>
    </row>
    <row r="26" ht="72" customHeight="1">
      <c r="A26" s="4" t="inlineStr">
        <is>
          <t>RBAC-005</t>
        </is>
      </c>
      <c r="B26" s="4" t="inlineStr">
        <is>
          <t>Role &amp; Access Control</t>
        </is>
      </c>
      <c r="C26" s="4" t="inlineStr">
        <is>
          <t>FR-A02, FR-A03, NFR-10</t>
        </is>
      </c>
      <c r="D26" s="4" t="inlineStr">
        <is>
          <t>Waiter can operate POS but cannot record cashier payment</t>
        </is>
      </c>
      <c r="E26" s="4" t="inlineStr">
        <is>
          <t>Verify, without assuming a pass result, that the release candidate correctly enforces: Waiter can operate POS but cannot record cashier payment.</t>
        </is>
      </c>
      <c r="F26" s="4" t="inlineStr">
        <is>
          <t>Negative</t>
        </is>
      </c>
      <c r="G26" s="4" t="inlineStr">
        <is>
          <t>Critical</t>
        </is>
      </c>
      <c r="H26" s="4" t="inlineStr">
        <is>
          <t>Critical</t>
        </is>
      </c>
      <c r="I26" s="4" t="inlineStr">
        <is>
          <t>Synthetic account exists for every role; direct API client is available for authorization checks.</t>
        </is>
      </c>
      <c r="J26" s="4" t="inlineStr">
        <is>
          <t>Use only named synthetic records from the Test Data Plan; capture generated IDs and baseline values in evidence. Never use real credentials, customer PII or secrets.</t>
        </is>
      </c>
      <c r="K26" s="4" t="inlineStr">
        <is>
          <t>All roles</t>
        </is>
      </c>
      <c r="L26" s="4" t="inlineStr">
        <is>
          <t>Restaurant A / Branch A1 unless the case explicitly tests another scope</t>
        </is>
      </c>
      <c r="M26" s="4" t="inlineStr">
        <is>
          <t>1. Sign in as All roles, or remain anonymous when the case requires it.
2. Record relevant UI, API and database baseline identifiers, statuses, counts and balances.
3. Use the documented page/API to verify that waiter can operate POS but cannot record cashier payment.
4. Refresh or repeat through an independent client where concurrency, polling or idempotency applies.
5. Compare the outcome, scope, audit fields and side effects with the expected result; capture evidence.</t>
        </is>
      </c>
      <c r="N26" s="4" t="inlineStr">
        <is>
          <t>The operation is refused with a stable, safe error; no unauthorized or partial mutation occurs. Specifically: Waiter can operate POS but cannot record cashier payment.</t>
        </is>
      </c>
      <c r="O26" s="4" t="inlineStr">
        <is>
          <t>Reverse only synthetic changes through supported UI/API, or restore the approved isolated snapshot; confirm no residual locks, sessions, occupied tables or stock deltas.</t>
        </is>
      </c>
      <c r="P26" s="4" t="inlineStr">
        <is>
          <t>Yes</t>
        </is>
      </c>
      <c r="Q26" s="4" t="inlineStr">
        <is>
          <t>Timestamped screenshots for UI; request/response with secrets redacted for API; query IDs/counts/balances for transactions; export/build artifact or monitoring trace where applicable.</t>
        </is>
      </c>
      <c r="R26" s="4" t="inlineStr">
        <is>
          <t>Planned / Not Yet Executed</t>
        </is>
      </c>
      <c r="S26" s="4" t="inlineStr"/>
      <c r="T26" s="4" t="inlineStr"/>
      <c r="U26" s="4" t="inlineStr"/>
      <c r="V26" s="4" t="inlineStr"/>
      <c r="W26" s="4" t="inlineStr"/>
      <c r="X26" s="4" t="inlineStr"/>
    </row>
    <row r="27" ht="72" customHeight="1">
      <c r="A27" s="4" t="inlineStr">
        <is>
          <t>RBAC-006</t>
        </is>
      </c>
      <c r="B27" s="4" t="inlineStr">
        <is>
          <t>Role &amp; Access Control</t>
        </is>
      </c>
      <c r="C27" s="4" t="inlineStr">
        <is>
          <t>FR-A02, FR-A03, NFR-10</t>
        </is>
      </c>
      <c r="D27" s="4" t="inlineStr">
        <is>
          <t>Chef can operate assigned kitchen flow only</t>
        </is>
      </c>
      <c r="E27" s="4" t="inlineStr">
        <is>
          <t>Verify, without assuming a pass result, that the release candidate correctly enforces: Chef can operate assigned kitchen flow only.</t>
        </is>
      </c>
      <c r="F27" s="4" t="inlineStr">
        <is>
          <t>Authorization</t>
        </is>
      </c>
      <c r="G27" s="4" t="inlineStr">
        <is>
          <t>High</t>
        </is>
      </c>
      <c r="H27" s="4" t="inlineStr">
        <is>
          <t>High</t>
        </is>
      </c>
      <c r="I27" s="4" t="inlineStr">
        <is>
          <t>Synthetic account exists for every role; direct API client is available for authorization checks.</t>
        </is>
      </c>
      <c r="J27" s="4" t="inlineStr">
        <is>
          <t>Use only named synthetic records from the Test Data Plan; capture generated IDs and baseline values in evidence. Never use real credentials, customer PII or secrets.</t>
        </is>
      </c>
      <c r="K27" s="4" t="inlineStr">
        <is>
          <t>All roles</t>
        </is>
      </c>
      <c r="L27" s="4" t="inlineStr">
        <is>
          <t>Restaurant A / Branch A1 unless the case explicitly tests another scope</t>
        </is>
      </c>
      <c r="M27" s="4" t="inlineStr">
        <is>
          <t>1. Sign in as All roles, or remain anonymous when the case requires it.
2. Record relevant UI, API and database baseline identifiers, statuses, counts and balances.
3. Use the documented page/API to verify that chef can operate assigned kitchen flow only.
4. Refresh or repeat through an independent client where concurrency, polling or idempotency applies.
5. Compare the outcome, scope, audit fields and side effects with the expected result; capture evidence.</t>
        </is>
      </c>
      <c r="N27" s="4" t="inlineStr">
        <is>
          <t>The release candidate demonstrates the specified behavior exactly and only within the actor's authorized scope: Chef can operate assigned kitchen flow only. No unrelated record changes.</t>
        </is>
      </c>
      <c r="O27" s="4" t="inlineStr">
        <is>
          <t>Reverse only synthetic changes through supported UI/API, or restore the approved isolated snapshot; confirm no residual locks, sessions, occupied tables or stock deltas.</t>
        </is>
      </c>
      <c r="P27" s="4" t="inlineStr">
        <is>
          <t>Yes</t>
        </is>
      </c>
      <c r="Q27" s="4" t="inlineStr">
        <is>
          <t>Timestamped screenshots for UI; request/response with secrets redacted for API; query IDs/counts/balances for transactions; export/build artifact or monitoring trace where applicable.</t>
        </is>
      </c>
      <c r="R27" s="4" t="inlineStr">
        <is>
          <t>Planned / Not Yet Executed</t>
        </is>
      </c>
      <c r="S27" s="4" t="inlineStr"/>
      <c r="T27" s="4" t="inlineStr"/>
      <c r="U27" s="4" t="inlineStr"/>
      <c r="V27" s="4" t="inlineStr"/>
      <c r="W27" s="4" t="inlineStr"/>
      <c r="X27" s="4" t="inlineStr"/>
    </row>
    <row r="28" ht="72" customHeight="1">
      <c r="A28" s="4" t="inlineStr">
        <is>
          <t>RBAC-007</t>
        </is>
      </c>
      <c r="B28" s="4" t="inlineStr">
        <is>
          <t>Role &amp; Access Control</t>
        </is>
      </c>
      <c r="C28" s="4" t="inlineStr">
        <is>
          <t>FR-A02, FR-A03, NFR-10</t>
        </is>
      </c>
      <c r="D28" s="4" t="inlineStr">
        <is>
          <t>Cashier can collect payment and view reduced reports only</t>
        </is>
      </c>
      <c r="E28" s="4" t="inlineStr">
        <is>
          <t>Verify, without assuming a pass result, that the release candidate correctly enforces: Cashier can collect payment and view reduced reports only.</t>
        </is>
      </c>
      <c r="F28" s="4" t="inlineStr">
        <is>
          <t>Authorization</t>
        </is>
      </c>
      <c r="G28" s="4" t="inlineStr">
        <is>
          <t>Critical</t>
        </is>
      </c>
      <c r="H28" s="4" t="inlineStr">
        <is>
          <t>Critical</t>
        </is>
      </c>
      <c r="I28" s="4" t="inlineStr">
        <is>
          <t>Synthetic account exists for every role; direct API client is available for authorization checks.</t>
        </is>
      </c>
      <c r="J28" s="4" t="inlineStr">
        <is>
          <t>Use only named synthetic records from the Test Data Plan; capture generated IDs and baseline values in evidence. Never use real credentials, customer PII or secrets.</t>
        </is>
      </c>
      <c r="K28" s="4" t="inlineStr">
        <is>
          <t>All roles</t>
        </is>
      </c>
      <c r="L28" s="4" t="inlineStr">
        <is>
          <t>Restaurant A / Branch A1 unless the case explicitly tests another scope</t>
        </is>
      </c>
      <c r="M28" s="4" t="inlineStr">
        <is>
          <t>1. Sign in as All roles, or remain anonymous when the case requires it.
2. Record relevant UI, API and database baseline identifiers, statuses, counts and balances.
3. Use the documented page/API to verify that cashier can collect payment and view reduced reports only.
4. Refresh or repeat through an independent client where concurrency, polling or idempotency applies.
5. Compare the outcome, scope, audit fields and side effects with the expected result; capture evidence.</t>
        </is>
      </c>
      <c r="N28" s="4" t="inlineStr">
        <is>
          <t>The release candidate demonstrates the specified behavior exactly and only within the actor's authorized scope: Cashier can collect payment and view reduced reports only. No unrelated record changes.</t>
        </is>
      </c>
      <c r="O28" s="4" t="inlineStr">
        <is>
          <t>Reverse only synthetic changes through supported UI/API, or restore the approved isolated snapshot; confirm no residual locks, sessions, occupied tables or stock deltas.</t>
        </is>
      </c>
      <c r="P28" s="4" t="inlineStr">
        <is>
          <t>Yes</t>
        </is>
      </c>
      <c r="Q28" s="4" t="inlineStr">
        <is>
          <t>Timestamped screenshots for UI; request/response with secrets redacted for API; query IDs/counts/balances for transactions; export/build artifact or monitoring trace where applicable.</t>
        </is>
      </c>
      <c r="R28" s="4" t="inlineStr">
        <is>
          <t>Planned / Not Yet Executed</t>
        </is>
      </c>
      <c r="S28" s="4" t="inlineStr"/>
      <c r="T28" s="4" t="inlineStr"/>
      <c r="U28" s="4" t="inlineStr"/>
      <c r="V28" s="4" t="inlineStr"/>
      <c r="W28" s="4" t="inlineStr"/>
      <c r="X28" s="4" t="inlineStr"/>
    </row>
    <row r="29" ht="72" customHeight="1">
      <c r="A29" s="4" t="inlineStr">
        <is>
          <t>RBAC-008</t>
        </is>
      </c>
      <c r="B29" s="4" t="inlineStr">
        <is>
          <t>Role &amp; Access Control</t>
        </is>
      </c>
      <c r="C29" s="4" t="inlineStr">
        <is>
          <t>FR-A02, FR-A03, NFR-10</t>
        </is>
      </c>
      <c r="D29" s="4" t="inlineStr">
        <is>
          <t>Branch Storekeeper can manage assigned branch stock and request Main Store stock</t>
        </is>
      </c>
      <c r="E29" s="4" t="inlineStr">
        <is>
          <t>Verify, without assuming a pass result, that the release candidate correctly enforces: Branch Storekeeper can manage assigned branch stock and request Main Store stock.</t>
        </is>
      </c>
      <c r="F29" s="4" t="inlineStr">
        <is>
          <t>Positive</t>
        </is>
      </c>
      <c r="G29" s="4" t="inlineStr">
        <is>
          <t>High</t>
        </is>
      </c>
      <c r="H29" s="4" t="inlineStr">
        <is>
          <t>High</t>
        </is>
      </c>
      <c r="I29" s="4" t="inlineStr">
        <is>
          <t>Synthetic account exists for every role; direct API client is available for authorization checks.</t>
        </is>
      </c>
      <c r="J29" s="4" t="inlineStr">
        <is>
          <t>Use only named synthetic records from the Test Data Plan; capture generated IDs and baseline values in evidence. Never use real credentials, customer PII or secrets.</t>
        </is>
      </c>
      <c r="K29" s="4" t="inlineStr">
        <is>
          <t>All roles</t>
        </is>
      </c>
      <c r="L29" s="4" t="inlineStr">
        <is>
          <t>Restaurant A / Branch A1 unless the case explicitly tests another scope</t>
        </is>
      </c>
      <c r="M29" s="4" t="inlineStr">
        <is>
          <t>1. Sign in as All roles, or remain anonymous when the case requires it.
2. Record relevant UI, API and database baseline identifiers, statuses, counts and balances.
3. Use the documented page/API to verify that branch Storekeeper can manage assigned branch stock and request Main Store stock.
4. Refresh or repeat through an independent client where concurrency, polling or idempotency applies.
5. Compare the outcome, scope, audit fields and side effects with the expected result; capture evidence.</t>
        </is>
      </c>
      <c r="N29" s="4" t="inlineStr">
        <is>
          <t>The release candidate demonstrates the specified behavior exactly and only within the actor's authorized scope: Branch Storekeeper can manage assigned branch stock and request Main Store stock. No unrelated record changes.</t>
        </is>
      </c>
      <c r="O29" s="4" t="inlineStr">
        <is>
          <t>Reverse only synthetic changes through supported UI/API, or restore the approved isolated snapshot; confirm no residual locks, sessions, occupied tables or stock deltas.</t>
        </is>
      </c>
      <c r="P29" s="4" t="inlineStr">
        <is>
          <t>Yes</t>
        </is>
      </c>
      <c r="Q29" s="4" t="inlineStr">
        <is>
          <t>Timestamped screenshots for UI; request/response with secrets redacted for API; query IDs/counts/balances for transactions; export/build artifact or monitoring trace where applicable.</t>
        </is>
      </c>
      <c r="R29" s="4" t="inlineStr">
        <is>
          <t>Planned / Not Yet Executed</t>
        </is>
      </c>
      <c r="S29" s="4" t="inlineStr"/>
      <c r="T29" s="4" t="inlineStr"/>
      <c r="U29" s="4" t="inlineStr"/>
      <c r="V29" s="4" t="inlineStr"/>
      <c r="W29" s="4" t="inlineStr"/>
      <c r="X29" s="4" t="inlineStr"/>
    </row>
    <row r="30" ht="72" customHeight="1">
      <c r="A30" s="4" t="inlineStr">
        <is>
          <t>RBAC-009</t>
        </is>
      </c>
      <c r="B30" s="4" t="inlineStr">
        <is>
          <t>Role &amp; Access Control</t>
        </is>
      </c>
      <c r="C30" s="4" t="inlineStr">
        <is>
          <t>FR-A02, FR-A03, NFR-10</t>
        </is>
      </c>
      <c r="D30" s="4" t="inlineStr">
        <is>
          <t>Main Store Storekeeper can receive central stock and fulfill approved transfers only</t>
        </is>
      </c>
      <c r="E30" s="4" t="inlineStr">
        <is>
          <t>Verify, without assuming a pass result, that the release candidate correctly enforces: Main Store Storekeeper can receive central stock and fulfill approved transfers only.</t>
        </is>
      </c>
      <c r="F30" s="4" t="inlineStr">
        <is>
          <t>Authorization</t>
        </is>
      </c>
      <c r="G30" s="4" t="inlineStr">
        <is>
          <t>High</t>
        </is>
      </c>
      <c r="H30" s="4" t="inlineStr">
        <is>
          <t>High</t>
        </is>
      </c>
      <c r="I30" s="4" t="inlineStr">
        <is>
          <t>Synthetic account exists for every role; direct API client is available for authorization checks.</t>
        </is>
      </c>
      <c r="J30" s="4" t="inlineStr">
        <is>
          <t>Use only named synthetic records from the Test Data Plan; capture generated IDs and baseline values in evidence. Never use real credentials, customer PII or secrets.</t>
        </is>
      </c>
      <c r="K30" s="4" t="inlineStr">
        <is>
          <t>All roles</t>
        </is>
      </c>
      <c r="L30" s="4" t="inlineStr">
        <is>
          <t>Restaurant A / Branch A1 unless the case explicitly tests another scope</t>
        </is>
      </c>
      <c r="M30" s="4" t="inlineStr">
        <is>
          <t>1. Sign in as All roles, or remain anonymous when the case requires it.
2. Record relevant UI, API and database baseline identifiers, statuses, counts and balances.
3. Use the documented page/API to verify that main Store Storekeeper can receive central stock and fulfill approved transfers only.
4. Refresh or repeat through an independent client where concurrency, polling or idempotency applies.
5. Compare the outcome, scope, audit fields and side effects with the expected result; capture evidence.</t>
        </is>
      </c>
      <c r="N30" s="4" t="inlineStr">
        <is>
          <t>The release candidate demonstrates the specified behavior exactly and only within the actor's authorized scope: Main Store Storekeeper can receive central stock and fulfill approved transfers only. No unrelated record changes.</t>
        </is>
      </c>
      <c r="O30" s="4" t="inlineStr">
        <is>
          <t>Reverse only synthetic changes through supported UI/API, or restore the approved isolated snapshot; confirm no residual locks, sessions, occupied tables or stock deltas.</t>
        </is>
      </c>
      <c r="P30" s="4" t="inlineStr">
        <is>
          <t>Yes</t>
        </is>
      </c>
      <c r="Q30" s="4" t="inlineStr">
        <is>
          <t>Timestamped screenshots for UI; request/response with secrets redacted for API; query IDs/counts/balances for transactions; export/build artifact or monitoring trace where applicable.</t>
        </is>
      </c>
      <c r="R30" s="4" t="inlineStr">
        <is>
          <t>Planned / Not Yet Executed</t>
        </is>
      </c>
      <c r="S30" s="4" t="inlineStr"/>
      <c r="T30" s="4" t="inlineStr"/>
      <c r="U30" s="4" t="inlineStr"/>
      <c r="V30" s="4" t="inlineStr"/>
      <c r="W30" s="4" t="inlineStr"/>
      <c r="X30" s="4" t="inlineStr"/>
    </row>
    <row r="31" ht="72" customHeight="1">
      <c r="A31" s="4" t="inlineStr">
        <is>
          <t>RBAC-010</t>
        </is>
      </c>
      <c r="B31" s="4" t="inlineStr">
        <is>
          <t>Role &amp; Access Control</t>
        </is>
      </c>
      <c r="C31" s="4" t="inlineStr">
        <is>
          <t>FR-A02, FR-A03, NFR-10</t>
        </is>
      </c>
      <c r="D31" s="4" t="inlineStr">
        <is>
          <t>Hidden navigation route remains denied by the backend</t>
        </is>
      </c>
      <c r="E31" s="4" t="inlineStr">
        <is>
          <t>Verify, without assuming a pass result, that the release candidate correctly enforces: Hidden navigation route remains denied by the backend.</t>
        </is>
      </c>
      <c r="F31" s="4" t="inlineStr">
        <is>
          <t>Negative</t>
        </is>
      </c>
      <c r="G31" s="4" t="inlineStr">
        <is>
          <t>Medium</t>
        </is>
      </c>
      <c r="H31" s="4" t="inlineStr">
        <is>
          <t>Medium</t>
        </is>
      </c>
      <c r="I31" s="4" t="inlineStr">
        <is>
          <t>Synthetic account exists for every role; direct API client is available for authorization checks.</t>
        </is>
      </c>
      <c r="J31" s="4" t="inlineStr">
        <is>
          <t>Use only named synthetic records from the Test Data Plan; capture generated IDs and baseline values in evidence. Never use real credentials, customer PII or secrets.</t>
        </is>
      </c>
      <c r="K31" s="4" t="inlineStr">
        <is>
          <t>All roles</t>
        </is>
      </c>
      <c r="L31" s="4" t="inlineStr">
        <is>
          <t>Restaurant A / Branch A1 unless the case explicitly tests another scope</t>
        </is>
      </c>
      <c r="M31" s="4" t="inlineStr">
        <is>
          <t>1. Sign in as All roles, or remain anonymous when the case requires it.
2. Record relevant UI, API and database baseline identifiers, statuses, counts and balances.
3. Use the documented page/API to verify that hidden navigation route remains denied by the backend.
4. Refresh or repeat through an independent client where concurrency, polling or idempotency applies.
5. Compare the outcome, scope, audit fields and side effects with the expected result; capture evidence.</t>
        </is>
      </c>
      <c r="N31" s="4" t="inlineStr">
        <is>
          <t>The operation is refused with a stable, safe error; no unauthorized or partial mutation occurs. Specifically: Hidden navigation route remains denied by the backend.</t>
        </is>
      </c>
      <c r="O31" s="4" t="inlineStr">
        <is>
          <t>Reverse only synthetic changes through supported UI/API, or restore the approved isolated snapshot; confirm no residual locks, sessions, occupied tables or stock deltas.</t>
        </is>
      </c>
      <c r="P31" s="4" t="inlineStr">
        <is>
          <t>Yes</t>
        </is>
      </c>
      <c r="Q31" s="4" t="inlineStr">
        <is>
          <t>Timestamped screenshots for UI; request/response with secrets redacted for API; query IDs/counts/balances for transactions; export/build artifact or monitoring trace where applicable.</t>
        </is>
      </c>
      <c r="R31" s="4" t="inlineStr">
        <is>
          <t>Planned / Not Yet Executed</t>
        </is>
      </c>
      <c r="S31" s="4" t="inlineStr"/>
      <c r="T31" s="4" t="inlineStr"/>
      <c r="U31" s="4" t="inlineStr"/>
      <c r="V31" s="4" t="inlineStr"/>
      <c r="W31" s="4" t="inlineStr"/>
      <c r="X31" s="4" t="inlineStr"/>
    </row>
    <row r="32" ht="72" customHeight="1">
      <c r="A32" s="4" t="inlineStr">
        <is>
          <t>RBAC-011</t>
        </is>
      </c>
      <c r="B32" s="4" t="inlineStr">
        <is>
          <t>Role &amp; Access Control</t>
        </is>
      </c>
      <c r="C32" s="4" t="inlineStr">
        <is>
          <t>FR-A02, FR-A03, NFR-10</t>
        </is>
      </c>
      <c r="D32" s="4" t="inlineStr">
        <is>
          <t>Direct URL entry cannot bypass page authorization</t>
        </is>
      </c>
      <c r="E32" s="4" t="inlineStr">
        <is>
          <t>Verify, without assuming a pass result, that the release candidate correctly enforces: Direct URL entry cannot bypass page authorization.</t>
        </is>
      </c>
      <c r="F32" s="4" t="inlineStr">
        <is>
          <t>Negative</t>
        </is>
      </c>
      <c r="G32" s="4" t="inlineStr">
        <is>
          <t>Medium</t>
        </is>
      </c>
      <c r="H32" s="4" t="inlineStr">
        <is>
          <t>Medium</t>
        </is>
      </c>
      <c r="I32" s="4" t="inlineStr">
        <is>
          <t>Synthetic account exists for every role; direct API client is available for authorization checks.</t>
        </is>
      </c>
      <c r="J32" s="4" t="inlineStr">
        <is>
          <t>Use only named synthetic records from the Test Data Plan; capture generated IDs and baseline values in evidence. Never use real credentials, customer PII or secrets.</t>
        </is>
      </c>
      <c r="K32" s="4" t="inlineStr">
        <is>
          <t>All roles</t>
        </is>
      </c>
      <c r="L32" s="4" t="inlineStr">
        <is>
          <t>Restaurant A / Branch A1 unless the case explicitly tests another scope</t>
        </is>
      </c>
      <c r="M32" s="4" t="inlineStr">
        <is>
          <t>1. Sign in as All roles, or remain anonymous when the case requires it.
2. Record relevant UI, API and database baseline identifiers, statuses, counts and balances.
3. Use the documented page/API to verify that direct URL entry cannot bypass page authorization.
4. Refresh or repeat through an independent client where concurrency, polling or idempotency applies.
5. Compare the outcome, scope, audit fields and side effects with the expected result; capture evidence.</t>
        </is>
      </c>
      <c r="N32" s="4" t="inlineStr">
        <is>
          <t>The operation is refused with a stable, safe error; no unauthorized or partial mutation occurs. Specifically: Direct URL entry cannot bypass page authorization.</t>
        </is>
      </c>
      <c r="O32" s="4" t="inlineStr">
        <is>
          <t>Reverse only synthetic changes through supported UI/API, or restore the approved isolated snapshot; confirm no residual locks, sessions, occupied tables or stock deltas.</t>
        </is>
      </c>
      <c r="P32" s="4" t="inlineStr">
        <is>
          <t>Yes</t>
        </is>
      </c>
      <c r="Q32" s="4" t="inlineStr">
        <is>
          <t>Timestamped screenshots for UI; request/response with secrets redacted for API; query IDs/counts/balances for transactions; export/build artifact or monitoring trace where applicable.</t>
        </is>
      </c>
      <c r="R32" s="4" t="inlineStr">
        <is>
          <t>Planned / Not Yet Executed</t>
        </is>
      </c>
      <c r="S32" s="4" t="inlineStr"/>
      <c r="T32" s="4" t="inlineStr"/>
      <c r="U32" s="4" t="inlineStr"/>
      <c r="V32" s="4" t="inlineStr"/>
      <c r="W32" s="4" t="inlineStr"/>
      <c r="X32" s="4" t="inlineStr"/>
    </row>
    <row r="33" ht="72" customHeight="1">
      <c r="A33" s="4" t="inlineStr">
        <is>
          <t>RBAC-012</t>
        </is>
      </c>
      <c r="B33" s="4" t="inlineStr">
        <is>
          <t>Role &amp; Access Control</t>
        </is>
      </c>
      <c r="C33" s="4" t="inlineStr">
        <is>
          <t>FR-A02, FR-A03, NFR-10</t>
        </is>
      </c>
      <c r="D33" s="4" t="inlineStr">
        <is>
          <t>Forged role value in request body cannot elevate privileges</t>
        </is>
      </c>
      <c r="E33" s="4" t="inlineStr">
        <is>
          <t>Verify, without assuming a pass result, that the release candidate correctly enforces: Forged role value in request body cannot elevate privileges.</t>
        </is>
      </c>
      <c r="F33" s="4" t="inlineStr">
        <is>
          <t>Negative</t>
        </is>
      </c>
      <c r="G33" s="4" t="inlineStr">
        <is>
          <t>Medium</t>
        </is>
      </c>
      <c r="H33" s="4" t="inlineStr">
        <is>
          <t>Medium</t>
        </is>
      </c>
      <c r="I33" s="4" t="inlineStr">
        <is>
          <t>Synthetic account exists for every role; direct API client is available for authorization checks.</t>
        </is>
      </c>
      <c r="J33" s="4" t="inlineStr">
        <is>
          <t>Use only named synthetic records from the Test Data Plan; capture generated IDs and baseline values in evidence. Never use real credentials, customer PII or secrets.</t>
        </is>
      </c>
      <c r="K33" s="4" t="inlineStr">
        <is>
          <t>All roles</t>
        </is>
      </c>
      <c r="L33" s="4" t="inlineStr">
        <is>
          <t>Restaurant A / Branch A1 unless the case explicitly tests another scope</t>
        </is>
      </c>
      <c r="M33" s="4" t="inlineStr">
        <is>
          <t>1. Sign in as All roles, or remain anonymous when the case requires it.
2. Record relevant UI, API and database baseline identifiers, statuses, counts and balances.
3. Use the documented page/API to verify that forged role value in request body cannot elevate privileges.
4. Refresh or repeat through an independent client where concurrency, polling or idempotency applies.
5. Compare the outcome, scope, audit fields and side effects with the expected result; capture evidence.</t>
        </is>
      </c>
      <c r="N33" s="4" t="inlineStr">
        <is>
          <t>The operation is refused with a stable, safe error; no unauthorized or partial mutation occurs. Specifically: Forged role value in request body cannot elevate privileges.</t>
        </is>
      </c>
      <c r="O33" s="4" t="inlineStr">
        <is>
          <t>Reverse only synthetic changes through supported UI/API, or restore the approved isolated snapshot; confirm no residual locks, sessions, occupied tables or stock deltas.</t>
        </is>
      </c>
      <c r="P33" s="4" t="inlineStr">
        <is>
          <t>Yes</t>
        </is>
      </c>
      <c r="Q33" s="4" t="inlineStr">
        <is>
          <t>Timestamped screenshots for UI; request/response with secrets redacted for API; query IDs/counts/balances for transactions; export/build artifact or monitoring trace where applicable.</t>
        </is>
      </c>
      <c r="R33" s="4" t="inlineStr">
        <is>
          <t>Planned / Not Yet Executed</t>
        </is>
      </c>
      <c r="S33" s="4" t="inlineStr"/>
      <c r="T33" s="4" t="inlineStr"/>
      <c r="U33" s="4" t="inlineStr"/>
      <c r="V33" s="4" t="inlineStr"/>
      <c r="W33" s="4" t="inlineStr"/>
      <c r="X33" s="4" t="inlineStr"/>
    </row>
    <row r="34" ht="72" customHeight="1">
      <c r="A34" s="4" t="inlineStr">
        <is>
          <t>RBAC-013</t>
        </is>
      </c>
      <c r="B34" s="4" t="inlineStr">
        <is>
          <t>Role &amp; Access Control</t>
        </is>
      </c>
      <c r="C34" s="4" t="inlineStr">
        <is>
          <t>FR-A02, FR-A03, NFR-10</t>
        </is>
      </c>
      <c r="D34" s="4" t="inlineStr">
        <is>
          <t>Unauthorized object ID returns 403 or scope-safe 404</t>
        </is>
      </c>
      <c r="E34" s="4" t="inlineStr">
        <is>
          <t>Verify, without assuming a pass result, that the release candidate correctly enforces: Unauthorized object ID returns 403 or scope-safe 404.</t>
        </is>
      </c>
      <c r="F34" s="4" t="inlineStr">
        <is>
          <t>Authorization</t>
        </is>
      </c>
      <c r="G34" s="4" t="inlineStr">
        <is>
          <t>High</t>
        </is>
      </c>
      <c r="H34" s="4" t="inlineStr">
        <is>
          <t>High</t>
        </is>
      </c>
      <c r="I34" s="4" t="inlineStr">
        <is>
          <t>Synthetic account exists for every role; direct API client is available for authorization checks.</t>
        </is>
      </c>
      <c r="J34" s="4" t="inlineStr">
        <is>
          <t>Use only named synthetic records from the Test Data Plan; capture generated IDs and baseline values in evidence. Never use real credentials, customer PII or secrets.</t>
        </is>
      </c>
      <c r="K34" s="4" t="inlineStr">
        <is>
          <t>All roles</t>
        </is>
      </c>
      <c r="L34" s="4" t="inlineStr">
        <is>
          <t>Restaurant A / Branch A1 unless the case explicitly tests another scope</t>
        </is>
      </c>
      <c r="M34" s="4" t="inlineStr">
        <is>
          <t>1. Sign in as All roles, or remain anonymous when the case requires it.
2. Record relevant UI, API and database baseline identifiers, statuses, counts and balances.
3. Use the documented page/API to verify that unauthorized object ID returns 403 or scope-safe 404.
4. Refresh or repeat through an independent client where concurrency, polling or idempotency applies.
5. Compare the outcome, scope, audit fields and side effects with the expected result; capture evidence.</t>
        </is>
      </c>
      <c r="N34" s="4" t="inlineStr">
        <is>
          <t>The release candidate demonstrates the specified behavior exactly and only within the actor's authorized scope: Unauthorized object ID returns 403 or scope-safe 404. No unrelated record changes.</t>
        </is>
      </c>
      <c r="O34" s="4" t="inlineStr">
        <is>
          <t>Reverse only synthetic changes through supported UI/API, or restore the approved isolated snapshot; confirm no residual locks, sessions, occupied tables or stock deltas.</t>
        </is>
      </c>
      <c r="P34" s="4" t="inlineStr">
        <is>
          <t>Yes</t>
        </is>
      </c>
      <c r="Q34" s="4" t="inlineStr">
        <is>
          <t>Timestamped screenshots for UI; request/response with secrets redacted for API; query IDs/counts/balances for transactions; export/build artifact or monitoring trace where applicable.</t>
        </is>
      </c>
      <c r="R34" s="4" t="inlineStr">
        <is>
          <t>Planned / Not Yet Executed</t>
        </is>
      </c>
      <c r="S34" s="4" t="inlineStr"/>
      <c r="T34" s="4" t="inlineStr"/>
      <c r="U34" s="4" t="inlineStr"/>
      <c r="V34" s="4" t="inlineStr"/>
      <c r="W34" s="4" t="inlineStr"/>
      <c r="X34" s="4" t="inlineStr"/>
    </row>
    <row r="35" ht="72" customHeight="1">
      <c r="A35" s="4" t="inlineStr">
        <is>
          <t>RBAC-014</t>
        </is>
      </c>
      <c r="B35" s="4" t="inlineStr">
        <is>
          <t>Role &amp; Access Control</t>
        </is>
      </c>
      <c r="C35" s="4" t="inlineStr">
        <is>
          <t>FR-A02, FR-A03, NFR-10</t>
        </is>
      </c>
      <c r="D35" s="4" t="inlineStr">
        <is>
          <t>Role change takes effect on the next authoritative session</t>
        </is>
      </c>
      <c r="E35" s="4" t="inlineStr">
        <is>
          <t>Verify, without assuming a pass result, that the release candidate correctly enforces: Role change takes effect on the next authoritative session.</t>
        </is>
      </c>
      <c r="F35" s="4" t="inlineStr">
        <is>
          <t>Authorization</t>
        </is>
      </c>
      <c r="G35" s="4" t="inlineStr">
        <is>
          <t>High</t>
        </is>
      </c>
      <c r="H35" s="4" t="inlineStr">
        <is>
          <t>High</t>
        </is>
      </c>
      <c r="I35" s="4" t="inlineStr">
        <is>
          <t>Synthetic account exists for every role; direct API client is available for authorization checks.</t>
        </is>
      </c>
      <c r="J35" s="4" t="inlineStr">
        <is>
          <t>Use only named synthetic records from the Test Data Plan; capture generated IDs and baseline values in evidence. Never use real credentials, customer PII or secrets.</t>
        </is>
      </c>
      <c r="K35" s="4" t="inlineStr">
        <is>
          <t>All roles</t>
        </is>
      </c>
      <c r="L35" s="4" t="inlineStr">
        <is>
          <t>Restaurant A / Branch A1 unless the case explicitly tests another scope</t>
        </is>
      </c>
      <c r="M35" s="4" t="inlineStr">
        <is>
          <t>1. Sign in as All roles, or remain anonymous when the case requires it.
2. Record relevant UI, API and database baseline identifiers, statuses, counts and balances.
3. Use the documented page/API to verify that role change takes effect on the next authoritative session.
4. Refresh or repeat through an independent client where concurrency, polling or idempotency applies.
5. Compare the outcome, scope, audit fields and side effects with the expected result; capture evidence.</t>
        </is>
      </c>
      <c r="N35" s="4" t="inlineStr">
        <is>
          <t>The release candidate demonstrates the specified behavior exactly and only within the actor's authorized scope: Role change takes effect on the next authoritative session. No unrelated record changes.</t>
        </is>
      </c>
      <c r="O35" s="4" t="inlineStr">
        <is>
          <t>Reverse only synthetic changes through supported UI/API, or restore the approved isolated snapshot; confirm no residual locks, sessions, occupied tables or stock deltas.</t>
        </is>
      </c>
      <c r="P35" s="4" t="inlineStr">
        <is>
          <t>Yes</t>
        </is>
      </c>
      <c r="Q35" s="4" t="inlineStr">
        <is>
          <t>Timestamped screenshots for UI; request/response with secrets redacted for API; query IDs/counts/balances for transactions; export/build artifact or monitoring trace where applicable.</t>
        </is>
      </c>
      <c r="R35" s="4" t="inlineStr">
        <is>
          <t>Planned / Not Yet Executed</t>
        </is>
      </c>
      <c r="S35" s="4" t="inlineStr"/>
      <c r="T35" s="4" t="inlineStr"/>
      <c r="U35" s="4" t="inlineStr"/>
      <c r="V35" s="4" t="inlineStr"/>
      <c r="W35" s="4" t="inlineStr"/>
      <c r="X35" s="4" t="inlineStr"/>
    </row>
    <row r="36" ht="72" customHeight="1">
      <c r="A36" s="4" t="inlineStr">
        <is>
          <t>ISO-001</t>
        </is>
      </c>
      <c r="B36" s="4" t="inlineStr">
        <is>
          <t>Restaurant &amp; Branch Isolation</t>
        </is>
      </c>
      <c r="C36" s="4" t="inlineStr">
        <is>
          <t>FR-S02, FR-I11, NFR-10</t>
        </is>
      </c>
      <c r="D36" s="4" t="inlineStr">
        <is>
          <t>Restaurant A user cannot list Restaurant B records</t>
        </is>
      </c>
      <c r="E36" s="4" t="inlineStr">
        <is>
          <t>Verify, without assuming a pass result, that the release candidate correctly enforces: Restaurant A user cannot list Restaurant B records.</t>
        </is>
      </c>
      <c r="F36" s="4" t="inlineStr">
        <is>
          <t>Negative</t>
        </is>
      </c>
      <c r="G36" s="4" t="inlineStr">
        <is>
          <t>Medium</t>
        </is>
      </c>
      <c r="H36" s="4" t="inlineStr">
        <is>
          <t>Medium</t>
        </is>
      </c>
      <c r="I36" s="4" t="inlineStr">
        <is>
          <t>Two restaurants and at least two branches in Restaurant A contain distinguishable synthetic records.</t>
        </is>
      </c>
      <c r="J36" s="4" t="inlineStr">
        <is>
          <t>Use only named synthetic records from the Test Data Plan; capture generated IDs and baseline values in evidence. Never use real credentials, customer PII or secrets.</t>
        </is>
      </c>
      <c r="K36" s="4" t="inlineStr">
        <is>
          <t>All scoped roles</t>
        </is>
      </c>
      <c r="L36" s="4" t="inlineStr">
        <is>
          <t>Restaurant A / Branch A1 and A2; Restaurant B / Branch B1</t>
        </is>
      </c>
      <c r="M36" s="4" t="inlineStr">
        <is>
          <t>1. Sign in as All scoped roles, or remain anonymous when the case requires it.
2. Record relevant UI, API and database baseline identifiers, statuses, counts and balances.
3. Use the documented page/API to verify that restaurant A user cannot list Restaurant B records.
4. Refresh or repeat through an independent client where concurrency, polling or idempotency applies.
5. Compare the outcome, scope, audit fields and side effects with the expected result; capture evidence.</t>
        </is>
      </c>
      <c r="N36" s="4" t="inlineStr">
        <is>
          <t>The operation is refused with a stable, safe error; no unauthorized or partial mutation occurs. Specifically: Restaurant A user cannot list Restaurant B records.</t>
        </is>
      </c>
      <c r="O36" s="4" t="inlineStr">
        <is>
          <t>Reverse only synthetic changes through supported UI/API, or restore the approved isolated snapshot; confirm no residual locks, sessions, occupied tables or stock deltas.</t>
        </is>
      </c>
      <c r="P36" s="4" t="inlineStr">
        <is>
          <t>Yes</t>
        </is>
      </c>
      <c r="Q36" s="4" t="inlineStr">
        <is>
          <t>Timestamped screenshots for UI; request/response with secrets redacted for API; query IDs/counts/balances for transactions; export/build artifact or monitoring trace where applicable.</t>
        </is>
      </c>
      <c r="R36" s="4" t="inlineStr">
        <is>
          <t>Planned / Not Yet Executed</t>
        </is>
      </c>
      <c r="S36" s="4" t="inlineStr"/>
      <c r="T36" s="4" t="inlineStr"/>
      <c r="U36" s="4" t="inlineStr"/>
      <c r="V36" s="4" t="inlineStr"/>
      <c r="W36" s="4" t="inlineStr"/>
      <c r="X36" s="4" t="inlineStr"/>
    </row>
    <row r="37" ht="72" customHeight="1">
      <c r="A37" s="4" t="inlineStr">
        <is>
          <t>ISO-002</t>
        </is>
      </c>
      <c r="B37" s="4" t="inlineStr">
        <is>
          <t>Restaurant &amp; Branch Isolation</t>
        </is>
      </c>
      <c r="C37" s="4" t="inlineStr">
        <is>
          <t>FR-S02, FR-I11, NFR-10</t>
        </is>
      </c>
      <c r="D37" s="4" t="inlineStr">
        <is>
          <t>Restaurant A user cannot retrieve Restaurant B record by ID</t>
        </is>
      </c>
      <c r="E37" s="4" t="inlineStr">
        <is>
          <t>Verify, without assuming a pass result, that the release candidate correctly enforces: Restaurant A user cannot retrieve Restaurant B record by ID.</t>
        </is>
      </c>
      <c r="F37" s="4" t="inlineStr">
        <is>
          <t>Negative</t>
        </is>
      </c>
      <c r="G37" s="4" t="inlineStr">
        <is>
          <t>Medium</t>
        </is>
      </c>
      <c r="H37" s="4" t="inlineStr">
        <is>
          <t>Medium</t>
        </is>
      </c>
      <c r="I37" s="4" t="inlineStr">
        <is>
          <t>Two restaurants and at least two branches in Restaurant A contain distinguishable synthetic records.</t>
        </is>
      </c>
      <c r="J37" s="4" t="inlineStr">
        <is>
          <t>Use only named synthetic records from the Test Data Plan; capture generated IDs and baseline values in evidence. Never use real credentials, customer PII or secrets.</t>
        </is>
      </c>
      <c r="K37" s="4" t="inlineStr">
        <is>
          <t>All scoped roles</t>
        </is>
      </c>
      <c r="L37" s="4" t="inlineStr">
        <is>
          <t>Restaurant A / Branch A1 and A2; Restaurant B / Branch B1</t>
        </is>
      </c>
      <c r="M37" s="4" t="inlineStr">
        <is>
          <t>1. Sign in as All scoped roles, or remain anonymous when the case requires it.
2. Record relevant UI, API and database baseline identifiers, statuses, counts and balances.
3. Use the documented page/API to verify that restaurant A user cannot retrieve Restaurant B record by ID.
4. Refresh or repeat through an independent client where concurrency, polling or idempotency applies.
5. Compare the outcome, scope, audit fields and side effects with the expected result; capture evidence.</t>
        </is>
      </c>
      <c r="N37" s="4" t="inlineStr">
        <is>
          <t>The operation is refused with a stable, safe error; no unauthorized or partial mutation occurs. Specifically: Restaurant A user cannot retrieve Restaurant B record by ID.</t>
        </is>
      </c>
      <c r="O37" s="4" t="inlineStr">
        <is>
          <t>Reverse only synthetic changes through supported UI/API, or restore the approved isolated snapshot; confirm no residual locks, sessions, occupied tables or stock deltas.</t>
        </is>
      </c>
      <c r="P37" s="4" t="inlineStr">
        <is>
          <t>Yes</t>
        </is>
      </c>
      <c r="Q37" s="4" t="inlineStr">
        <is>
          <t>Timestamped screenshots for UI; request/response with secrets redacted for API; query IDs/counts/balances for transactions; export/build artifact or monitoring trace where applicable.</t>
        </is>
      </c>
      <c r="R37" s="4" t="inlineStr">
        <is>
          <t>Planned / Not Yet Executed</t>
        </is>
      </c>
      <c r="S37" s="4" t="inlineStr"/>
      <c r="T37" s="4" t="inlineStr"/>
      <c r="U37" s="4" t="inlineStr"/>
      <c r="V37" s="4" t="inlineStr"/>
      <c r="W37" s="4" t="inlineStr"/>
      <c r="X37" s="4" t="inlineStr"/>
    </row>
    <row r="38" ht="72" customHeight="1">
      <c r="A38" s="4" t="inlineStr">
        <is>
          <t>ISO-003</t>
        </is>
      </c>
      <c r="B38" s="4" t="inlineStr">
        <is>
          <t>Restaurant &amp; Branch Isolation</t>
        </is>
      </c>
      <c r="C38" s="4" t="inlineStr">
        <is>
          <t>FR-S02, FR-I11, NFR-10</t>
        </is>
      </c>
      <c r="D38" s="4" t="inlineStr">
        <is>
          <t>Branch A manager cannot list Branch B operational records</t>
        </is>
      </c>
      <c r="E38" s="4" t="inlineStr">
        <is>
          <t>Verify, without assuming a pass result, that the release candidate correctly enforces: Branch A manager cannot list Branch B operational records.</t>
        </is>
      </c>
      <c r="F38" s="4" t="inlineStr">
        <is>
          <t>Negative</t>
        </is>
      </c>
      <c r="G38" s="4" t="inlineStr">
        <is>
          <t>Medium</t>
        </is>
      </c>
      <c r="H38" s="4" t="inlineStr">
        <is>
          <t>Medium</t>
        </is>
      </c>
      <c r="I38" s="4" t="inlineStr">
        <is>
          <t>Two restaurants and at least two branches in Restaurant A contain distinguishable synthetic records.</t>
        </is>
      </c>
      <c r="J38" s="4" t="inlineStr">
        <is>
          <t>Use only named synthetic records from the Test Data Plan; capture generated IDs and baseline values in evidence. Never use real credentials, customer PII or secrets.</t>
        </is>
      </c>
      <c r="K38" s="4" t="inlineStr">
        <is>
          <t>All scoped roles</t>
        </is>
      </c>
      <c r="L38" s="4" t="inlineStr">
        <is>
          <t>Restaurant A / Branch A1 and A2; Restaurant B / Branch B1</t>
        </is>
      </c>
      <c r="M38" s="4" t="inlineStr">
        <is>
          <t>1. Sign in as All scoped roles, or remain anonymous when the case requires it.
2. Record relevant UI, API and database baseline identifiers, statuses, counts and balances.
3. Use the documented page/API to verify that branch A manager cannot list Branch B operational records.
4. Refresh or repeat through an independent client where concurrency, polling or idempotency applies.
5. Compare the outcome, scope, audit fields and side effects with the expected result; capture evidence.</t>
        </is>
      </c>
      <c r="N38" s="4" t="inlineStr">
        <is>
          <t>The operation is refused with a stable, safe error; no unauthorized or partial mutation occurs. Specifically: Branch A manager cannot list Branch B operational records.</t>
        </is>
      </c>
      <c r="O38" s="4" t="inlineStr">
        <is>
          <t>Reverse only synthetic changes through supported UI/API, or restore the approved isolated snapshot; confirm no residual locks, sessions, occupied tables or stock deltas.</t>
        </is>
      </c>
      <c r="P38" s="4" t="inlineStr">
        <is>
          <t>Yes</t>
        </is>
      </c>
      <c r="Q38" s="4" t="inlineStr">
        <is>
          <t>Timestamped screenshots for UI; request/response with secrets redacted for API; query IDs/counts/balances for transactions; export/build artifact or monitoring trace where applicable.</t>
        </is>
      </c>
      <c r="R38" s="4" t="inlineStr">
        <is>
          <t>Planned / Not Yet Executed</t>
        </is>
      </c>
      <c r="S38" s="4" t="inlineStr"/>
      <c r="T38" s="4" t="inlineStr"/>
      <c r="U38" s="4" t="inlineStr"/>
      <c r="V38" s="4" t="inlineStr"/>
      <c r="W38" s="4" t="inlineStr"/>
      <c r="X38" s="4" t="inlineStr"/>
    </row>
    <row r="39" ht="72" customHeight="1">
      <c r="A39" s="4" t="inlineStr">
        <is>
          <t>ISO-004</t>
        </is>
      </c>
      <c r="B39" s="4" t="inlineStr">
        <is>
          <t>Restaurant &amp; Branch Isolation</t>
        </is>
      </c>
      <c r="C39" s="4" t="inlineStr">
        <is>
          <t>FR-S02, FR-I11, NFR-10</t>
        </is>
      </c>
      <c r="D39" s="4" t="inlineStr">
        <is>
          <t>Branch A waiter cannot place an order against Branch B table</t>
        </is>
      </c>
      <c r="E39" s="4" t="inlineStr">
        <is>
          <t>Verify, without assuming a pass result, that the release candidate correctly enforces: Branch A waiter cannot place an order against Branch B table.</t>
        </is>
      </c>
      <c r="F39" s="4" t="inlineStr">
        <is>
          <t>Negative</t>
        </is>
      </c>
      <c r="G39" s="4" t="inlineStr">
        <is>
          <t>High</t>
        </is>
      </c>
      <c r="H39" s="4" t="inlineStr">
        <is>
          <t>High</t>
        </is>
      </c>
      <c r="I39" s="4" t="inlineStr">
        <is>
          <t>Two restaurants and at least two branches in Restaurant A contain distinguishable synthetic records.</t>
        </is>
      </c>
      <c r="J39" s="4" t="inlineStr">
        <is>
          <t>Use only named synthetic records from the Test Data Plan; capture generated IDs and baseline values in evidence. Never use real credentials, customer PII or secrets.</t>
        </is>
      </c>
      <c r="K39" s="4" t="inlineStr">
        <is>
          <t>All scoped roles</t>
        </is>
      </c>
      <c r="L39" s="4" t="inlineStr">
        <is>
          <t>Restaurant A / Branch A1 and A2; Restaurant B / Branch B1</t>
        </is>
      </c>
      <c r="M39" s="4" t="inlineStr">
        <is>
          <t>1. Sign in as All scoped roles, or remain anonymous when the case requires it.
2. Record relevant UI, API and database baseline identifiers, statuses, counts and balances.
3. Use the documented page/API to verify that branch A waiter cannot place an order against Branch B table.
4. Refresh or repeat through an independent client where concurrency, polling or idempotency applies.
5. Compare the outcome, scope, audit fields and side effects with the expected result; capture evidence.</t>
        </is>
      </c>
      <c r="N39" s="4" t="inlineStr">
        <is>
          <t>The operation is refused with a stable, safe error; no unauthorized or partial mutation occurs. Specifically: Branch A waiter cannot place an order against Branch B table.</t>
        </is>
      </c>
      <c r="O39" s="4" t="inlineStr">
        <is>
          <t>Reverse only synthetic changes through supported UI/API, or restore the approved isolated snapshot; confirm no residual locks, sessions, occupied tables or stock deltas.</t>
        </is>
      </c>
      <c r="P39" s="4" t="inlineStr">
        <is>
          <t>Yes</t>
        </is>
      </c>
      <c r="Q39" s="4" t="inlineStr">
        <is>
          <t>Timestamped screenshots for UI; request/response with secrets redacted for API; query IDs/counts/balances for transactions; export/build artifact or monitoring trace where applicable.</t>
        </is>
      </c>
      <c r="R39" s="4" t="inlineStr">
        <is>
          <t>Planned / Not Yet Executed</t>
        </is>
      </c>
      <c r="S39" s="4" t="inlineStr"/>
      <c r="T39" s="4" t="inlineStr"/>
      <c r="U39" s="4" t="inlineStr"/>
      <c r="V39" s="4" t="inlineStr"/>
      <c r="W39" s="4" t="inlineStr"/>
      <c r="X39" s="4" t="inlineStr"/>
    </row>
    <row r="40" ht="72" customHeight="1">
      <c r="A40" s="4" t="inlineStr">
        <is>
          <t>ISO-005</t>
        </is>
      </c>
      <c r="B40" s="4" t="inlineStr">
        <is>
          <t>Restaurant &amp; Branch Isolation</t>
        </is>
      </c>
      <c r="C40" s="4" t="inlineStr">
        <is>
          <t>FR-S02, FR-I11, NFR-10</t>
        </is>
      </c>
      <c r="D40" s="4" t="inlineStr">
        <is>
          <t>Cross-branch user table and inventory references are rejected</t>
        </is>
      </c>
      <c r="E40" s="4" t="inlineStr">
        <is>
          <t>Verify, without assuming a pass result, that the release candidate correctly enforces: Cross-branch user table and inventory references are rejected.</t>
        </is>
      </c>
      <c r="F40" s="4" t="inlineStr">
        <is>
          <t>Negative</t>
        </is>
      </c>
      <c r="G40" s="4" t="inlineStr">
        <is>
          <t>Medium</t>
        </is>
      </c>
      <c r="H40" s="4" t="inlineStr">
        <is>
          <t>Medium</t>
        </is>
      </c>
      <c r="I40" s="4" t="inlineStr">
        <is>
          <t>Two restaurants and at least two branches in Restaurant A contain distinguishable synthetic records.</t>
        </is>
      </c>
      <c r="J40" s="4" t="inlineStr">
        <is>
          <t>Use only named synthetic records from the Test Data Plan; capture generated IDs and baseline values in evidence. Never use real credentials, customer PII or secrets.</t>
        </is>
      </c>
      <c r="K40" s="4" t="inlineStr">
        <is>
          <t>All scoped roles</t>
        </is>
      </c>
      <c r="L40" s="4" t="inlineStr">
        <is>
          <t>Restaurant A / Branch A1 and A2; Restaurant B / Branch B1</t>
        </is>
      </c>
      <c r="M40" s="4" t="inlineStr">
        <is>
          <t>1. Sign in as All scoped roles, or remain anonymous when the case requires it.
2. Record relevant UI, API and database baseline identifiers, statuses, counts and balances.
3. Use the documented page/API to verify that cross-branch user table and inventory references are rejected.
4. Refresh or repeat through an independent client where concurrency, polling or idempotency applies.
5. Compare the outcome, scope, audit fields and side effects with the expected result; capture evidence.</t>
        </is>
      </c>
      <c r="N40" s="4" t="inlineStr">
        <is>
          <t>The operation is refused with a stable, safe error; no unauthorized or partial mutation occurs. Specifically: Cross-branch user table and inventory references are rejected.</t>
        </is>
      </c>
      <c r="O40" s="4" t="inlineStr">
        <is>
          <t>Reverse only synthetic changes through supported UI/API, or restore the approved isolated snapshot; confirm no residual locks, sessions, occupied tables or stock deltas.</t>
        </is>
      </c>
      <c r="P40" s="4" t="inlineStr">
        <is>
          <t>Yes</t>
        </is>
      </c>
      <c r="Q40" s="4" t="inlineStr">
        <is>
          <t>Timestamped screenshots for UI; request/response with secrets redacted for API; query IDs/counts/balances for transactions; export/build artifact or monitoring trace where applicable.</t>
        </is>
      </c>
      <c r="R40" s="4" t="inlineStr">
        <is>
          <t>Planned / Not Yet Executed</t>
        </is>
      </c>
      <c r="S40" s="4" t="inlineStr"/>
      <c r="T40" s="4" t="inlineStr"/>
      <c r="U40" s="4" t="inlineStr"/>
      <c r="V40" s="4" t="inlineStr"/>
      <c r="W40" s="4" t="inlineStr"/>
      <c r="X40" s="4" t="inlineStr"/>
    </row>
    <row r="41" ht="72" customHeight="1">
      <c r="A41" s="4" t="inlineStr">
        <is>
          <t>ISO-006</t>
        </is>
      </c>
      <c r="B41" s="4" t="inlineStr">
        <is>
          <t>Restaurant &amp; Branch Isolation</t>
        </is>
      </c>
      <c r="C41" s="4" t="inlineStr">
        <is>
          <t>FR-S02, FR-I11, NFR-10</t>
        </is>
      </c>
      <c r="D41" s="4" t="inlineStr">
        <is>
          <t>Owner visibility spans own restaurant but not another restaurant</t>
        </is>
      </c>
      <c r="E41" s="4" t="inlineStr">
        <is>
          <t>Verify, without assuming a pass result, that the release candidate correctly enforces: Owner visibility spans own restaurant but not another restaurant.</t>
        </is>
      </c>
      <c r="F41" s="4" t="inlineStr">
        <is>
          <t>Authorization</t>
        </is>
      </c>
      <c r="G41" s="4" t="inlineStr">
        <is>
          <t>High</t>
        </is>
      </c>
      <c r="H41" s="4" t="inlineStr">
        <is>
          <t>High</t>
        </is>
      </c>
      <c r="I41" s="4" t="inlineStr">
        <is>
          <t>Two restaurants and at least two branches in Restaurant A contain distinguishable synthetic records.</t>
        </is>
      </c>
      <c r="J41" s="4" t="inlineStr">
        <is>
          <t>Use only named synthetic records from the Test Data Plan; capture generated IDs and baseline values in evidence. Never use real credentials, customer PII or secrets.</t>
        </is>
      </c>
      <c r="K41" s="4" t="inlineStr">
        <is>
          <t>All scoped roles</t>
        </is>
      </c>
      <c r="L41" s="4" t="inlineStr">
        <is>
          <t>Restaurant A / Branch A1 and A2; Restaurant B / Branch B1</t>
        </is>
      </c>
      <c r="M41" s="4" t="inlineStr">
        <is>
          <t>1. Sign in as All scoped roles, or remain anonymous when the case requires it.
2. Record relevant UI, API and database baseline identifiers, statuses, counts and balances.
3. Use the documented page/API to verify that owner visibility spans own restaurant but not another restaurant.
4. Refresh or repeat through an independent client where concurrency, polling or idempotency applies.
5. Compare the outcome, scope, audit fields and side effects with the expected result; capture evidence.</t>
        </is>
      </c>
      <c r="N41" s="4" t="inlineStr">
        <is>
          <t>The release candidate demonstrates the specified behavior exactly and only within the actor's authorized scope: Owner visibility spans own restaurant but not another restaurant. No unrelated record changes.</t>
        </is>
      </c>
      <c r="O41" s="4" t="inlineStr">
        <is>
          <t>Reverse only synthetic changes through supported UI/API, or restore the approved isolated snapshot; confirm no residual locks, sessions, occupied tables or stock deltas.</t>
        </is>
      </c>
      <c r="P41" s="4" t="inlineStr">
        <is>
          <t>Yes</t>
        </is>
      </c>
      <c r="Q41" s="4" t="inlineStr">
        <is>
          <t>Timestamped screenshots for UI; request/response with secrets redacted for API; query IDs/counts/balances for transactions; export/build artifact or monitoring trace where applicable.</t>
        </is>
      </c>
      <c r="R41" s="4" t="inlineStr">
        <is>
          <t>Planned / Not Yet Executed</t>
        </is>
      </c>
      <c r="S41" s="4" t="inlineStr"/>
      <c r="T41" s="4" t="inlineStr"/>
      <c r="U41" s="4" t="inlineStr"/>
      <c r="V41" s="4" t="inlineStr"/>
      <c r="W41" s="4" t="inlineStr"/>
      <c r="X41" s="4" t="inlineStr"/>
    </row>
    <row r="42" ht="72" customHeight="1">
      <c r="A42" s="4" t="inlineStr">
        <is>
          <t>ISO-007</t>
        </is>
      </c>
      <c r="B42" s="4" t="inlineStr">
        <is>
          <t>Restaurant &amp; Branch Isolation</t>
        </is>
      </c>
      <c r="C42" s="4" t="inlineStr">
        <is>
          <t>FR-S02, FR-I11, NFR-10</t>
        </is>
      </c>
      <c r="D42" s="4" t="inlineStr">
        <is>
          <t>Aggregate dashboard and reports exclude out-of-scope tenants</t>
        </is>
      </c>
      <c r="E42" s="4" t="inlineStr">
        <is>
          <t>Verify, without assuming a pass result, that the release candidate correctly enforces: Aggregate dashboard and reports exclude out-of-scope tenants.</t>
        </is>
      </c>
      <c r="F42" s="4" t="inlineStr">
        <is>
          <t>Authorization</t>
        </is>
      </c>
      <c r="G42" s="4" t="inlineStr">
        <is>
          <t>High</t>
        </is>
      </c>
      <c r="H42" s="4" t="inlineStr">
        <is>
          <t>High</t>
        </is>
      </c>
      <c r="I42" s="4" t="inlineStr">
        <is>
          <t>Two restaurants and at least two branches in Restaurant A contain distinguishable synthetic records.</t>
        </is>
      </c>
      <c r="J42" s="4" t="inlineStr">
        <is>
          <t>Use only named synthetic records from the Test Data Plan; capture generated IDs and baseline values in evidence. Never use real credentials, customer PII or secrets.</t>
        </is>
      </c>
      <c r="K42" s="4" t="inlineStr">
        <is>
          <t>All scoped roles</t>
        </is>
      </c>
      <c r="L42" s="4" t="inlineStr">
        <is>
          <t>Restaurant A / Branch A1 and A2; Restaurant B / Branch B1</t>
        </is>
      </c>
      <c r="M42" s="4" t="inlineStr">
        <is>
          <t>1. Sign in as All scoped roles, or remain anonymous when the case requires it.
2. Record relevant UI, API and database baseline identifiers, statuses, counts and balances.
3. Use the documented page/API to verify that aggregate dashboard and reports exclude out-of-scope tenants.
4. Refresh or repeat through an independent client where concurrency, polling or idempotency applies.
5. Compare the outcome, scope, audit fields and side effects with the expected result; capture evidence.</t>
        </is>
      </c>
      <c r="N42" s="4" t="inlineStr">
        <is>
          <t>The release candidate demonstrates the specified behavior exactly and only within the actor's authorized scope: Aggregate dashboard and reports exclude out-of-scope tenants. No unrelated record changes.</t>
        </is>
      </c>
      <c r="O42" s="4" t="inlineStr">
        <is>
          <t>Reverse only synthetic changes through supported UI/API, or restore the approved isolated snapshot; confirm no residual locks, sessions, occupied tables or stock deltas.</t>
        </is>
      </c>
      <c r="P42" s="4" t="inlineStr">
        <is>
          <t>Yes</t>
        </is>
      </c>
      <c r="Q42" s="4" t="inlineStr">
        <is>
          <t>Timestamped screenshots for UI; request/response with secrets redacted for API; query IDs/counts/balances for transactions; export/build artifact or monitoring trace where applicable.</t>
        </is>
      </c>
      <c r="R42" s="4" t="inlineStr">
        <is>
          <t>Planned / Not Yet Executed</t>
        </is>
      </c>
      <c r="S42" s="4" t="inlineStr"/>
      <c r="T42" s="4" t="inlineStr"/>
      <c r="U42" s="4" t="inlineStr"/>
      <c r="V42" s="4" t="inlineStr"/>
      <c r="W42" s="4" t="inlineStr"/>
      <c r="X42" s="4" t="inlineStr"/>
    </row>
    <row r="43" ht="72" customHeight="1">
      <c r="A43" s="4" t="inlineStr">
        <is>
          <t>ISO-008</t>
        </is>
      </c>
      <c r="B43" s="4" t="inlineStr">
        <is>
          <t>Restaurant &amp; Branch Isolation</t>
        </is>
      </c>
      <c r="C43" s="4" t="inlineStr">
        <is>
          <t>FR-S02, FR-I11, NFR-10</t>
        </is>
      </c>
      <c r="D43" s="4" t="inlineStr">
        <is>
          <t>Concurrent scoped requests do not leak cached data between users</t>
        </is>
      </c>
      <c r="E43" s="4" t="inlineStr">
        <is>
          <t>Verify, without assuming a pass result, that the release candidate correctly enforces: Concurrent scoped requests do not leak cached data between users.</t>
        </is>
      </c>
      <c r="F43" s="4" t="inlineStr">
        <is>
          <t>Authorization</t>
        </is>
      </c>
      <c r="G43" s="4" t="inlineStr">
        <is>
          <t>High</t>
        </is>
      </c>
      <c r="H43" s="4" t="inlineStr">
        <is>
          <t>High</t>
        </is>
      </c>
      <c r="I43" s="4" t="inlineStr">
        <is>
          <t>Two restaurants and at least two branches in Restaurant A contain distinguishable synthetic records.</t>
        </is>
      </c>
      <c r="J43" s="4" t="inlineStr">
        <is>
          <t>Use only named synthetic records from the Test Data Plan; capture generated IDs and baseline values in evidence. Never use real credentials, customer PII or secrets.</t>
        </is>
      </c>
      <c r="K43" s="4" t="inlineStr">
        <is>
          <t>All scoped roles</t>
        </is>
      </c>
      <c r="L43" s="4" t="inlineStr">
        <is>
          <t>Restaurant A / Branch A1 and A2; Restaurant B / Branch B1</t>
        </is>
      </c>
      <c r="M43" s="4" t="inlineStr">
        <is>
          <t>1. Sign in as All scoped roles, or remain anonymous when the case requires it.
2. Record relevant UI, API and database baseline identifiers, statuses, counts and balances.
3. Use the documented page/API to verify that concurrent scoped requests do not leak cached data between users.
4. Refresh or repeat through an independent client where concurrency, polling or idempotency applies.
5. Compare the outcome, scope, audit fields and side effects with the expected result; capture evidence.</t>
        </is>
      </c>
      <c r="N43" s="4" t="inlineStr">
        <is>
          <t>The release candidate demonstrates the specified behavior exactly and only within the actor's authorized scope: Concurrent scoped requests do not leak cached data between users. No unrelated record changes.</t>
        </is>
      </c>
      <c r="O43" s="4" t="inlineStr">
        <is>
          <t>Reverse only synthetic changes through supported UI/API, or restore the approved isolated snapshot; confirm no residual locks, sessions, occupied tables or stock deltas.</t>
        </is>
      </c>
      <c r="P43" s="4" t="inlineStr">
        <is>
          <t>Yes</t>
        </is>
      </c>
      <c r="Q43" s="4" t="inlineStr">
        <is>
          <t>Timestamped screenshots for UI; request/response with secrets redacted for API; query IDs/counts/balances for transactions; export/build artifact or monitoring trace where applicable.</t>
        </is>
      </c>
      <c r="R43" s="4" t="inlineStr">
        <is>
          <t>Planned / Not Yet Executed</t>
        </is>
      </c>
      <c r="S43" s="4" t="inlineStr"/>
      <c r="T43" s="4" t="inlineStr"/>
      <c r="U43" s="4" t="inlineStr"/>
      <c r="V43" s="4" t="inlineStr"/>
      <c r="W43" s="4" t="inlineStr"/>
      <c r="X43" s="4" t="inlineStr"/>
    </row>
    <row r="44" ht="72" customHeight="1">
      <c r="A44" s="4" t="inlineStr">
        <is>
          <t>DASH-001</t>
        </is>
      </c>
      <c r="B44" s="4" t="inlineStr">
        <is>
          <t>Dashboard</t>
        </is>
      </c>
      <c r="C44" s="4" t="inlineStr">
        <is>
          <t>FR-D01, FR-D04, NFR-02</t>
        </is>
      </c>
      <c r="D44" s="4" t="inlineStr">
        <is>
          <t>Admin Owner and Manager see the combined dashboard</t>
        </is>
      </c>
      <c r="E44" s="4" t="inlineStr">
        <is>
          <t>Verify, without assuming a pass result, that the release candidate correctly enforces: Admin Owner and Manager see the combined dashboard.</t>
        </is>
      </c>
      <c r="F44" s="4" t="inlineStr">
        <is>
          <t>Positive</t>
        </is>
      </c>
      <c r="G44" s="4" t="inlineStr">
        <is>
          <t>Medium</t>
        </is>
      </c>
      <c r="H44" s="4" t="inlineStr">
        <is>
          <t>Medium</t>
        </is>
      </c>
      <c r="I44" s="4" t="inlineStr">
        <is>
          <t>Today contains known orders, payments, stock movements and kitchen timestamps.</t>
        </is>
      </c>
      <c r="J44" s="4" t="inlineStr">
        <is>
          <t>Use only named synthetic records from the Test Data Plan; capture generated IDs and baseline values in evidence. Never use real credentials, customer PII or secrets.</t>
        </is>
      </c>
      <c r="K44" s="4" t="inlineStr">
        <is>
          <t>Admin / Owner / Manager</t>
        </is>
      </c>
      <c r="L44" s="4" t="inlineStr">
        <is>
          <t>Restaurant A / Branch A1 unless the case explicitly tests another scope</t>
        </is>
      </c>
      <c r="M44" s="4" t="inlineStr">
        <is>
          <t>1. Sign in as Admin / Owner / Manager, or remain anonymous when the case requires it.
2. Record relevant UI, API and database baseline identifiers, statuses, counts and balances.
3. Use the documented page/API to verify that admin Owner and Manager see the combined dashboard.
4. Refresh or repeat through an independent client where concurrency, polling or idempotency applies.
5. Compare the outcome, scope, audit fields and side effects with the expected result; capture evidence.</t>
        </is>
      </c>
      <c r="N44" s="4" t="inlineStr">
        <is>
          <t>The release candidate demonstrates the specified behavior exactly and only within the actor's authorized scope: Admin Owner and Manager see the combined dashboard. No unrelated record changes.</t>
        </is>
      </c>
      <c r="O44" s="4" t="inlineStr">
        <is>
          <t>Reverse only synthetic changes through supported UI/API, or restore the approved isolated snapshot; confirm no residual locks, sessions, occupied tables or stock deltas.</t>
        </is>
      </c>
      <c r="P44" s="4" t="inlineStr">
        <is>
          <t>Yes</t>
        </is>
      </c>
      <c r="Q44" s="4" t="inlineStr">
        <is>
          <t>Timestamped screenshots for UI; request/response with secrets redacted for API; query IDs/counts/balances for transactions; export/build artifact or monitoring trace where applicable.</t>
        </is>
      </c>
      <c r="R44" s="4" t="inlineStr">
        <is>
          <t>Planned / Not Yet Executed</t>
        </is>
      </c>
      <c r="S44" s="4" t="inlineStr"/>
      <c r="T44" s="4" t="inlineStr"/>
      <c r="U44" s="4" t="inlineStr"/>
      <c r="V44" s="4" t="inlineStr"/>
      <c r="W44" s="4" t="inlineStr"/>
      <c r="X44" s="4" t="inlineStr"/>
    </row>
    <row r="45" ht="72" customHeight="1">
      <c r="A45" s="4" t="inlineStr">
        <is>
          <t>DASH-002</t>
        </is>
      </c>
      <c r="B45" s="4" t="inlineStr">
        <is>
          <t>Dashboard</t>
        </is>
      </c>
      <c r="C45" s="4" t="inlineStr">
        <is>
          <t>FR-D01, FR-D04, NFR-02</t>
        </is>
      </c>
      <c r="D45" s="4" t="inlineStr">
        <is>
          <t>Operational roles land on Orders instead of management dashboard</t>
        </is>
      </c>
      <c r="E45" s="4" t="inlineStr">
        <is>
          <t>Verify, without assuming a pass result, that the release candidate correctly enforces: Operational roles land on Orders instead of management dashboard.</t>
        </is>
      </c>
      <c r="F45" s="4" t="inlineStr">
        <is>
          <t>Authorization</t>
        </is>
      </c>
      <c r="G45" s="4" t="inlineStr">
        <is>
          <t>High</t>
        </is>
      </c>
      <c r="H45" s="4" t="inlineStr">
        <is>
          <t>High</t>
        </is>
      </c>
      <c r="I45" s="4" t="inlineStr">
        <is>
          <t>Today contains known orders, payments, stock movements and kitchen timestamps.</t>
        </is>
      </c>
      <c r="J45" s="4" t="inlineStr">
        <is>
          <t>Use only named synthetic records from the Test Data Plan; capture generated IDs and baseline values in evidence. Never use real credentials, customer PII or secrets.</t>
        </is>
      </c>
      <c r="K45" s="4" t="inlineStr">
        <is>
          <t>Admin / Owner / Manager</t>
        </is>
      </c>
      <c r="L45" s="4" t="inlineStr">
        <is>
          <t>Restaurant A / Branch A1 unless the case explicitly tests another scope</t>
        </is>
      </c>
      <c r="M45" s="4" t="inlineStr">
        <is>
          <t>1. Sign in as Admin / Owner / Manager, or remain anonymous when the case requires it.
2. Record relevant UI, API and database baseline identifiers, statuses, counts and balances.
3. Use the documented page/API to verify that operational roles land on Orders instead of management dashboard.
4. Refresh or repeat through an independent client where concurrency, polling or idempotency applies.
5. Compare the outcome, scope, audit fields and side effects with the expected result; capture evidence.</t>
        </is>
      </c>
      <c r="N45" s="4" t="inlineStr">
        <is>
          <t>The release candidate demonstrates the specified behavior exactly and only within the actor's authorized scope: Operational roles land on Orders instead of management dashboard. No unrelated record changes.</t>
        </is>
      </c>
      <c r="O45" s="4" t="inlineStr">
        <is>
          <t>Reverse only synthetic changes through supported UI/API, or restore the approved isolated snapshot; confirm no residual locks, sessions, occupied tables or stock deltas.</t>
        </is>
      </c>
      <c r="P45" s="4" t="inlineStr">
        <is>
          <t>Yes</t>
        </is>
      </c>
      <c r="Q45" s="4" t="inlineStr">
        <is>
          <t>Timestamped screenshots for UI; request/response with secrets redacted for API; query IDs/counts/balances for transactions; export/build artifact or monitoring trace where applicable.</t>
        </is>
      </c>
      <c r="R45" s="4" t="inlineStr">
        <is>
          <t>Planned / Not Yet Executed</t>
        </is>
      </c>
      <c r="S45" s="4" t="inlineStr"/>
      <c r="T45" s="4" t="inlineStr"/>
      <c r="U45" s="4" t="inlineStr"/>
      <c r="V45" s="4" t="inlineStr"/>
      <c r="W45" s="4" t="inlineStr"/>
      <c r="X45" s="4" t="inlineStr"/>
    </row>
    <row r="46" ht="72" customHeight="1">
      <c r="A46" s="4" t="inlineStr">
        <is>
          <t>DASH-003</t>
        </is>
      </c>
      <c r="B46" s="4" t="inlineStr">
        <is>
          <t>Dashboard</t>
        </is>
      </c>
      <c r="C46" s="4" t="inlineStr">
        <is>
          <t>FR-D01, FR-D04, NFR-02</t>
        </is>
      </c>
      <c r="D46" s="4" t="inlineStr">
        <is>
          <t>Today KPI cards reconcile to source transactions</t>
        </is>
      </c>
      <c r="E46" s="4" t="inlineStr">
        <is>
          <t>Verify, without assuming a pass result, that the release candidate correctly enforces: Today KPI cards reconcile to source transactions.</t>
        </is>
      </c>
      <c r="F46" s="4" t="inlineStr">
        <is>
          <t>Integration</t>
        </is>
      </c>
      <c r="G46" s="4" t="inlineStr">
        <is>
          <t>Medium</t>
        </is>
      </c>
      <c r="H46" s="4" t="inlineStr">
        <is>
          <t>Medium</t>
        </is>
      </c>
      <c r="I46" s="4" t="inlineStr">
        <is>
          <t>Today contains known orders, payments, stock movements and kitchen timestamps.</t>
        </is>
      </c>
      <c r="J46" s="4" t="inlineStr">
        <is>
          <t>Use only named synthetic records from the Test Data Plan; capture generated IDs and baseline values in evidence. Never use real credentials, customer PII or secrets.</t>
        </is>
      </c>
      <c r="K46" s="4" t="inlineStr">
        <is>
          <t>Admin / Owner / Manager</t>
        </is>
      </c>
      <c r="L46" s="4" t="inlineStr">
        <is>
          <t>Restaurant A / Branch A1 unless the case explicitly tests another scope</t>
        </is>
      </c>
      <c r="M46" s="4" t="inlineStr">
        <is>
          <t>1. Sign in as Admin / Owner / Manager, or remain anonymous when the case requires it.
2. Record relevant UI, API and database baseline identifiers, statuses, counts and balances.
3. Use the documented page/API to verify that today KPI cards reconcile to source transactions.
4. Refresh or repeat through an independent client where concurrency, polling or idempotency applies.
5. Compare the outcome, scope, audit fields and side effects with the expected result; capture evidence.</t>
        </is>
      </c>
      <c r="N46" s="4" t="inlineStr">
        <is>
          <t>Displayed/exported values exactly equal independently calculated values from authorized source records, with correct scope, date boundary and ETB precision.</t>
        </is>
      </c>
      <c r="O46" s="4" t="inlineStr">
        <is>
          <t>Reverse only synthetic changes through supported UI/API, or restore the approved isolated snapshot; confirm no residual locks, sessions, occupied tables or stock deltas.</t>
        </is>
      </c>
      <c r="P46" s="4" t="inlineStr">
        <is>
          <t>Yes</t>
        </is>
      </c>
      <c r="Q46" s="4" t="inlineStr">
        <is>
          <t>Timestamped screenshots for UI; request/response with secrets redacted for API; query IDs/counts/balances for transactions; export/build artifact or monitoring trace where applicable.</t>
        </is>
      </c>
      <c r="R46" s="4" t="inlineStr">
        <is>
          <t>Planned / Not Yet Executed</t>
        </is>
      </c>
      <c r="S46" s="4" t="inlineStr"/>
      <c r="T46" s="4" t="inlineStr"/>
      <c r="U46" s="4" t="inlineStr"/>
      <c r="V46" s="4" t="inlineStr"/>
      <c r="W46" s="4" t="inlineStr"/>
      <c r="X46" s="4" t="inlineStr"/>
    </row>
    <row r="47" ht="72" customHeight="1">
      <c r="A47" s="4" t="inlineStr">
        <is>
          <t>DASH-004</t>
        </is>
      </c>
      <c r="B47" s="4" t="inlineStr">
        <is>
          <t>Dashboard</t>
        </is>
      </c>
      <c r="C47" s="4" t="inlineStr">
        <is>
          <t>FR-D01, FR-D04, NFR-02</t>
        </is>
      </c>
      <c r="D47" s="4" t="inlineStr">
        <is>
          <t>KPI card opens a correctly filtered detail popup</t>
        </is>
      </c>
      <c r="E47" s="4" t="inlineStr">
        <is>
          <t>Verify, without assuming a pass result, that the release candidate correctly enforces: KPI card opens a correctly filtered detail popup.</t>
        </is>
      </c>
      <c r="F47" s="4" t="inlineStr">
        <is>
          <t>Positive</t>
        </is>
      </c>
      <c r="G47" s="4" t="inlineStr">
        <is>
          <t>Medium</t>
        </is>
      </c>
      <c r="H47" s="4" t="inlineStr">
        <is>
          <t>Medium</t>
        </is>
      </c>
      <c r="I47" s="4" t="inlineStr">
        <is>
          <t>Today contains known orders, payments, stock movements and kitchen timestamps.</t>
        </is>
      </c>
      <c r="J47" s="4" t="inlineStr">
        <is>
          <t>Use only named synthetic records from the Test Data Plan; capture generated IDs and baseline values in evidence. Never use real credentials, customer PII or secrets.</t>
        </is>
      </c>
      <c r="K47" s="4" t="inlineStr">
        <is>
          <t>Admin / Owner / Manager</t>
        </is>
      </c>
      <c r="L47" s="4" t="inlineStr">
        <is>
          <t>Restaurant A / Branch A1 unless the case explicitly tests another scope</t>
        </is>
      </c>
      <c r="M47" s="4" t="inlineStr">
        <is>
          <t>1. Sign in as Admin / Owner / Manager, or remain anonymous when the case requires it.
2. Record relevant UI, API and database baseline identifiers, statuses, counts and balances.
3. Use the documented page/API to verify that kPI card opens a correctly filtered detail popup.
4. Refresh or repeat through an independent client where concurrency, polling or idempotency applies.
5. Compare the outcome, scope, audit fields and side effects with the expected result; capture evidence.</t>
        </is>
      </c>
      <c r="N47" s="4" t="inlineStr">
        <is>
          <t>The release candidate demonstrates the specified behavior exactly and only within the actor's authorized scope: KPI card opens a correctly filtered detail popup. No unrelated record changes.</t>
        </is>
      </c>
      <c r="O47" s="4" t="inlineStr">
        <is>
          <t>Reverse only synthetic changes through supported UI/API, or restore the approved isolated snapshot; confirm no residual locks, sessions, occupied tables or stock deltas.</t>
        </is>
      </c>
      <c r="P47" s="4" t="inlineStr">
        <is>
          <t>Yes</t>
        </is>
      </c>
      <c r="Q47" s="4" t="inlineStr">
        <is>
          <t>Timestamped screenshots for UI; request/response with secrets redacted for API; query IDs/counts/balances for transactions; export/build artifact or monitoring trace where applicable.</t>
        </is>
      </c>
      <c r="R47" s="4" t="inlineStr">
        <is>
          <t>Planned / Not Yet Executed</t>
        </is>
      </c>
      <c r="S47" s="4" t="inlineStr"/>
      <c r="T47" s="4" t="inlineStr"/>
      <c r="U47" s="4" t="inlineStr"/>
      <c r="V47" s="4" t="inlineStr"/>
      <c r="W47" s="4" t="inlineStr"/>
      <c r="X47" s="4" t="inlineStr"/>
    </row>
    <row r="48" ht="72" customHeight="1">
      <c r="A48" s="4" t="inlineStr">
        <is>
          <t>DASH-005</t>
        </is>
      </c>
      <c r="B48" s="4" t="inlineStr">
        <is>
          <t>Dashboard</t>
        </is>
      </c>
      <c r="C48" s="4" t="inlineStr">
        <is>
          <t>FR-D01, FR-D04, NFR-02</t>
        </is>
      </c>
      <c r="D48" s="4" t="inlineStr">
        <is>
          <t>Sales trend top sellers profitability and kitchen metrics reconcile</t>
        </is>
      </c>
      <c r="E48" s="4" t="inlineStr">
        <is>
          <t>Verify, without assuming a pass result, that the release candidate correctly enforces: Sales trend top sellers profitability and kitchen metrics reconcile.</t>
        </is>
      </c>
      <c r="F48" s="4" t="inlineStr">
        <is>
          <t>Integration</t>
        </is>
      </c>
      <c r="G48" s="4" t="inlineStr">
        <is>
          <t>Medium</t>
        </is>
      </c>
      <c r="H48" s="4" t="inlineStr">
        <is>
          <t>Medium</t>
        </is>
      </c>
      <c r="I48" s="4" t="inlineStr">
        <is>
          <t>Today contains known orders, payments, stock movements and kitchen timestamps.</t>
        </is>
      </c>
      <c r="J48" s="4" t="inlineStr">
        <is>
          <t>Use only named synthetic records from the Test Data Plan; capture generated IDs and baseline values in evidence. Never use real credentials, customer PII or secrets.</t>
        </is>
      </c>
      <c r="K48" s="4" t="inlineStr">
        <is>
          <t>Admin / Owner / Manager</t>
        </is>
      </c>
      <c r="L48" s="4" t="inlineStr">
        <is>
          <t>Restaurant A / Branch A1 unless the case explicitly tests another scope</t>
        </is>
      </c>
      <c r="M48" s="4" t="inlineStr">
        <is>
          <t>1. Sign in as Admin / Owner / Manager, or remain anonymous when the case requires it.
2. Record relevant UI, API and database baseline identifiers, statuses, counts and balances.
3. Use the documented page/API to verify that sales trend top sellers profitability and kitchen metrics reconcile.
4. Refresh or repeat through an independent client where concurrency, polling or idempotency applies.
5. Compare the outcome, scope, audit fields and side effects with the expected result; capture evidence.</t>
        </is>
      </c>
      <c r="N48" s="4" t="inlineStr">
        <is>
          <t>Displayed/exported values exactly equal independently calculated values from authorized source records, with correct scope, date boundary and ETB precision.</t>
        </is>
      </c>
      <c r="O48" s="4" t="inlineStr">
        <is>
          <t>Reverse only synthetic changes through supported UI/API, or restore the approved isolated snapshot; confirm no residual locks, sessions, occupied tables or stock deltas.</t>
        </is>
      </c>
      <c r="P48" s="4" t="inlineStr">
        <is>
          <t>Yes</t>
        </is>
      </c>
      <c r="Q48" s="4" t="inlineStr">
        <is>
          <t>Timestamped screenshots for UI; request/response with secrets redacted for API; query IDs/counts/balances for transactions; export/build artifact or monitoring trace where applicable.</t>
        </is>
      </c>
      <c r="R48" s="4" t="inlineStr">
        <is>
          <t>Planned / Not Yet Executed</t>
        </is>
      </c>
      <c r="S48" s="4" t="inlineStr"/>
      <c r="T48" s="4" t="inlineStr"/>
      <c r="U48" s="4" t="inlineStr"/>
      <c r="V48" s="4" t="inlineStr"/>
      <c r="W48" s="4" t="inlineStr"/>
      <c r="X48" s="4" t="inlineStr"/>
    </row>
    <row r="49" ht="72" customHeight="1">
      <c r="A49" s="4" t="inlineStr">
        <is>
          <t>DASH-006</t>
        </is>
      </c>
      <c r="B49" s="4" t="inlineStr">
        <is>
          <t>Dashboard</t>
        </is>
      </c>
      <c r="C49" s="4" t="inlineStr">
        <is>
          <t>FR-D01, FR-D04, NFR-02</t>
        </is>
      </c>
      <c r="D49" s="4" t="inlineStr">
        <is>
          <t>Dashboard refreshes within the ten-second freshness window without flicker</t>
        </is>
      </c>
      <c r="E49" s="4" t="inlineStr">
        <is>
          <t>Verify, without assuming a pass result, that the release candidate correctly enforces: Dashboard refreshes within the ten-second freshness window without flicker.</t>
        </is>
      </c>
      <c r="F49" s="4" t="inlineStr">
        <is>
          <t>Negative</t>
        </is>
      </c>
      <c r="G49" s="4" t="inlineStr">
        <is>
          <t>Medium</t>
        </is>
      </c>
      <c r="H49" s="4" t="inlineStr">
        <is>
          <t>Medium</t>
        </is>
      </c>
      <c r="I49" s="4" t="inlineStr">
        <is>
          <t>Today contains known orders, payments, stock movements and kitchen timestamps.</t>
        </is>
      </c>
      <c r="J49" s="4" t="inlineStr">
        <is>
          <t>Use only named synthetic records from the Test Data Plan; capture generated IDs and baseline values in evidence. Never use real credentials, customer PII or secrets.</t>
        </is>
      </c>
      <c r="K49" s="4" t="inlineStr">
        <is>
          <t>Admin / Owner / Manager</t>
        </is>
      </c>
      <c r="L49" s="4" t="inlineStr">
        <is>
          <t>Restaurant A / Branch A1 unless the case explicitly tests another scope</t>
        </is>
      </c>
      <c r="M49" s="4" t="inlineStr">
        <is>
          <t>1. Sign in as Admin / Owner / Manager, or remain anonymous when the case requires it.
2. Record relevant UI, API and database baseline identifiers, statuses, counts and balances.
3. Use the documented page/API to verify that dashboard refreshes within the ten-second freshness window without flicker.
4. Refresh or repeat through an independent client where concurrency, polling or idempotency applies.
5. Compare the outcome, scope, audit fields and side effects with the expected result; capture evidence.</t>
        </is>
      </c>
      <c r="N49" s="4" t="inlineStr">
        <is>
          <t>The release candidate demonstrates the specified behavior exactly and only within the actor's authorized scope: Dashboard refreshes within the ten-second freshness window without flicker. No unrelated record changes.</t>
        </is>
      </c>
      <c r="O49" s="4" t="inlineStr">
        <is>
          <t>Reverse only synthetic changes through supported UI/API, or restore the approved isolated snapshot; confirm no residual locks, sessions, occupied tables or stock deltas.</t>
        </is>
      </c>
      <c r="P49" s="4" t="inlineStr">
        <is>
          <t>Yes</t>
        </is>
      </c>
      <c r="Q49" s="4" t="inlineStr">
        <is>
          <t>Timestamped screenshots for UI; request/response with secrets redacted for API; query IDs/counts/balances for transactions; export/build artifact or monitoring trace where applicable.</t>
        </is>
      </c>
      <c r="R49" s="4" t="inlineStr">
        <is>
          <t>Planned / Not Yet Executed</t>
        </is>
      </c>
      <c r="S49" s="4" t="inlineStr"/>
      <c r="T49" s="4" t="inlineStr"/>
      <c r="U49" s="4" t="inlineStr"/>
      <c r="V49" s="4" t="inlineStr"/>
      <c r="W49" s="4" t="inlineStr"/>
      <c r="X49" s="4" t="inlineStr"/>
    </row>
    <row r="50" ht="72" customHeight="1">
      <c r="A50" s="4" t="inlineStr">
        <is>
          <t>POS-001</t>
        </is>
      </c>
      <c r="B50" s="4" t="inlineStr">
        <is>
          <t>Orders &amp; POS</t>
        </is>
      </c>
      <c r="C50" s="4" t="inlineStr">
        <is>
          <t>FR-O01, FR-O02, FR-O04, FR-O05, FR-O06, FR-O07</t>
        </is>
      </c>
      <c r="D50" s="4" t="inlineStr">
        <is>
          <t>Waiter creates a dine-in order with quantities and notes</t>
        </is>
      </c>
      <c r="E50" s="4" t="inlineStr">
        <is>
          <t>Verify, without assuming a pass result, that the release candidate correctly enforces: Waiter creates a dine-in order with quantities and notes.</t>
        </is>
      </c>
      <c r="F50" s="4" t="inlineStr">
        <is>
          <t>Positive</t>
        </is>
      </c>
      <c r="G50" s="4" t="inlineStr">
        <is>
          <t>High</t>
        </is>
      </c>
      <c r="H50" s="4" t="inlineStr">
        <is>
          <t>High</t>
        </is>
      </c>
      <c r="I50" s="4" t="inlineStr">
        <is>
          <t>Synthetic menu, category, waiter, chef and available table exist in Branch A; starting state is recorded.</t>
        </is>
      </c>
      <c r="J50" s="4" t="inlineStr">
        <is>
          <t>Use only named synthetic records from the Test Data Plan; capture generated IDs and baseline values in evidence. Never use real credentials, customer PII or secrets.</t>
        </is>
      </c>
      <c r="K50" s="4" t="inlineStr">
        <is>
          <t>Waiter / Coordinator</t>
        </is>
      </c>
      <c r="L50" s="4" t="inlineStr">
        <is>
          <t>Restaurant A / Branch A1 unless the case explicitly tests another scope</t>
        </is>
      </c>
      <c r="M50" s="4" t="inlineStr">
        <is>
          <t>1. Sign in as Waiter / Coordinator, or remain anonymous when the case requires it.
2. Record relevant UI, API and database baseline identifiers, statuses, counts and balances.
3. Use the documented page/API to verify that waiter creates a dine-in order with quantities and notes.
4. Refresh or repeat through an independent client where concurrency, polling or idempotency applies.
5. Compare the outcome, scope, audit fields and side effects with the expected result; capture evidence.</t>
        </is>
      </c>
      <c r="N50" s="4" t="inlineStr">
        <is>
          <t>The release candidate demonstrates the specified behavior exactly and only within the actor's authorized scope: Waiter creates a dine-in order with quantities and notes. No unrelated record changes.</t>
        </is>
      </c>
      <c r="O50" s="4" t="inlineStr">
        <is>
          <t>Reverse only synthetic changes through supported UI/API, or restore the approved isolated snapshot; confirm no residual locks, sessions, occupied tables or stock deltas.</t>
        </is>
      </c>
      <c r="P50" s="4" t="inlineStr">
        <is>
          <t>Yes</t>
        </is>
      </c>
      <c r="Q50" s="4" t="inlineStr">
        <is>
          <t>Timestamped screenshots for UI; request/response with secrets redacted for API; query IDs/counts/balances for transactions; export/build artifact or monitoring trace where applicable.</t>
        </is>
      </c>
      <c r="R50" s="4" t="inlineStr">
        <is>
          <t>Planned / Not Yet Executed</t>
        </is>
      </c>
      <c r="S50" s="4" t="inlineStr"/>
      <c r="T50" s="4" t="inlineStr"/>
      <c r="U50" s="4" t="inlineStr"/>
      <c r="V50" s="4" t="inlineStr"/>
      <c r="W50" s="4" t="inlineStr"/>
      <c r="X50" s="4" t="inlineStr"/>
    </row>
    <row r="51" ht="72" customHeight="1">
      <c r="A51" s="4" t="inlineStr">
        <is>
          <t>POS-002</t>
        </is>
      </c>
      <c r="B51" s="4" t="inlineStr">
        <is>
          <t>Orders &amp; POS</t>
        </is>
      </c>
      <c r="C51" s="4" t="inlineStr">
        <is>
          <t>FR-O01, FR-O02, FR-O04, FR-O05, FR-O06, FR-O07</t>
        </is>
      </c>
      <c r="D51" s="4" t="inlineStr">
        <is>
          <t>Waiter creates a take-away order without occupying a table</t>
        </is>
      </c>
      <c r="E51" s="4" t="inlineStr">
        <is>
          <t>Verify, without assuming a pass result, that the release candidate correctly enforces: Waiter creates a take-away order without occupying a table.</t>
        </is>
      </c>
      <c r="F51" s="4" t="inlineStr">
        <is>
          <t>Negative</t>
        </is>
      </c>
      <c r="G51" s="4" t="inlineStr">
        <is>
          <t>High</t>
        </is>
      </c>
      <c r="H51" s="4" t="inlineStr">
        <is>
          <t>High</t>
        </is>
      </c>
      <c r="I51" s="4" t="inlineStr">
        <is>
          <t>Synthetic menu, category, waiter, chef and available table exist in Branch A; starting state is recorded.</t>
        </is>
      </c>
      <c r="J51" s="4" t="inlineStr">
        <is>
          <t>Use only named synthetic records from the Test Data Plan; capture generated IDs and baseline values in evidence. Never use real credentials, customer PII or secrets.</t>
        </is>
      </c>
      <c r="K51" s="4" t="inlineStr">
        <is>
          <t>Waiter / Coordinator</t>
        </is>
      </c>
      <c r="L51" s="4" t="inlineStr">
        <is>
          <t>Restaurant A / Branch A1 unless the case explicitly tests another scope</t>
        </is>
      </c>
      <c r="M51" s="4" t="inlineStr">
        <is>
          <t>1. Sign in as Waiter / Coordinator, or remain anonymous when the case requires it.
2. Record relevant UI, API and database baseline identifiers, statuses, counts and balances.
3. Use the documented page/API to verify that waiter creates a take-away order without occupying a table.
4. Refresh or repeat through an independent client where concurrency, polling or idempotency applies.
5. Compare the outcome, scope, audit fields and side effects with the expected result; capture evidence.</t>
        </is>
      </c>
      <c r="N51" s="4" t="inlineStr">
        <is>
          <t>The release candidate demonstrates the specified behavior exactly and only within the actor's authorized scope: Waiter creates a take-away order without occupying a table. No unrelated record changes.</t>
        </is>
      </c>
      <c r="O51" s="4" t="inlineStr">
        <is>
          <t>Reverse only synthetic changes through supported UI/API, or restore the approved isolated snapshot; confirm no residual locks, sessions, occupied tables or stock deltas.</t>
        </is>
      </c>
      <c r="P51" s="4" t="inlineStr">
        <is>
          <t>Yes</t>
        </is>
      </c>
      <c r="Q51" s="4" t="inlineStr">
        <is>
          <t>Timestamped screenshots for UI; request/response with secrets redacted for API; query IDs/counts/balances for transactions; export/build artifact or monitoring trace where applicable.</t>
        </is>
      </c>
      <c r="R51" s="4" t="inlineStr">
        <is>
          <t>Planned / Not Yet Executed</t>
        </is>
      </c>
      <c r="S51" s="4" t="inlineStr"/>
      <c r="T51" s="4" t="inlineStr"/>
      <c r="U51" s="4" t="inlineStr"/>
      <c r="V51" s="4" t="inlineStr"/>
      <c r="W51" s="4" t="inlineStr"/>
      <c r="X51" s="4" t="inlineStr"/>
    </row>
    <row r="52" ht="72" customHeight="1">
      <c r="A52" s="4" t="inlineStr">
        <is>
          <t>POS-003</t>
        </is>
      </c>
      <c r="B52" s="4" t="inlineStr">
        <is>
          <t>Orders &amp; POS</t>
        </is>
      </c>
      <c r="C52" s="4" t="inlineStr">
        <is>
          <t>FR-O01, FR-O02, FR-O04, FR-O05, FR-O06, FR-O07</t>
        </is>
      </c>
      <c r="D52" s="4" t="inlineStr">
        <is>
          <t>Empty cart cannot be submitted</t>
        </is>
      </c>
      <c r="E52" s="4" t="inlineStr">
        <is>
          <t>Verify, without assuming a pass result, that the release candidate correctly enforces: Empty cart cannot be submitted.</t>
        </is>
      </c>
      <c r="F52" s="4" t="inlineStr">
        <is>
          <t>Negative</t>
        </is>
      </c>
      <c r="G52" s="4" t="inlineStr">
        <is>
          <t>Medium</t>
        </is>
      </c>
      <c r="H52" s="4" t="inlineStr">
        <is>
          <t>Medium</t>
        </is>
      </c>
      <c r="I52" s="4" t="inlineStr">
        <is>
          <t>Synthetic menu, category, waiter, chef and available table exist in Branch A; starting state is recorded.</t>
        </is>
      </c>
      <c r="J52" s="4" t="inlineStr">
        <is>
          <t>Use only named synthetic records from the Test Data Plan; capture generated IDs and baseline values in evidence. Never use real credentials, customer PII or secrets.</t>
        </is>
      </c>
      <c r="K52" s="4" t="inlineStr">
        <is>
          <t>Waiter / Coordinator</t>
        </is>
      </c>
      <c r="L52" s="4" t="inlineStr">
        <is>
          <t>Restaurant A / Branch A1 unless the case explicitly tests another scope</t>
        </is>
      </c>
      <c r="M52" s="4" t="inlineStr">
        <is>
          <t>1. Sign in as Waiter / Coordinator, or remain anonymous when the case requires it.
2. Record relevant UI, API and database baseline identifiers, statuses, counts and balances.
3. Use the documented page/API to verify that empty cart cannot be submitted.
4. Refresh or repeat through an independent client where concurrency, polling or idempotency applies.
5. Compare the outcome, scope, audit fields and side effects with the expected result; capture evidence.</t>
        </is>
      </c>
      <c r="N52" s="4" t="inlineStr">
        <is>
          <t>The operation is refused with a stable, safe error; no unauthorized or partial mutation occurs. Specifically: Empty cart cannot be submitted.</t>
        </is>
      </c>
      <c r="O52" s="4" t="inlineStr">
        <is>
          <t>Reverse only synthetic changes through supported UI/API, or restore the approved isolated snapshot; confirm no residual locks, sessions, occupied tables or stock deltas.</t>
        </is>
      </c>
      <c r="P52" s="4" t="inlineStr">
        <is>
          <t>Yes</t>
        </is>
      </c>
      <c r="Q52" s="4" t="inlineStr">
        <is>
          <t>Timestamped screenshots for UI; request/response with secrets redacted for API; query IDs/counts/balances for transactions; export/build artifact or monitoring trace where applicable.</t>
        </is>
      </c>
      <c r="R52" s="4" t="inlineStr">
        <is>
          <t>Planned / Not Yet Executed</t>
        </is>
      </c>
      <c r="S52" s="4" t="inlineStr"/>
      <c r="T52" s="4" t="inlineStr"/>
      <c r="U52" s="4" t="inlineStr"/>
      <c r="V52" s="4" t="inlineStr"/>
      <c r="W52" s="4" t="inlineStr"/>
      <c r="X52" s="4" t="inlineStr"/>
    </row>
    <row r="53" ht="72" customHeight="1">
      <c r="A53" s="4" t="inlineStr">
        <is>
          <t>POS-004</t>
        </is>
      </c>
      <c r="B53" s="4" t="inlineStr">
        <is>
          <t>Orders &amp; POS</t>
        </is>
      </c>
      <c r="C53" s="4" t="inlineStr">
        <is>
          <t>FR-O01, FR-O02, FR-O04, FR-O05, FR-O06, FR-O07</t>
        </is>
      </c>
      <c r="D53" s="4" t="inlineStr">
        <is>
          <t>Zero negative and excessive quantities are rejected</t>
        </is>
      </c>
      <c r="E53" s="4" t="inlineStr">
        <is>
          <t>Verify, without assuming a pass result, that the release candidate correctly enforces: Zero negative and excessive quantities are rejected.</t>
        </is>
      </c>
      <c r="F53" s="4" t="inlineStr">
        <is>
          <t>Negative</t>
        </is>
      </c>
      <c r="G53" s="4" t="inlineStr">
        <is>
          <t>Medium</t>
        </is>
      </c>
      <c r="H53" s="4" t="inlineStr">
        <is>
          <t>Medium</t>
        </is>
      </c>
      <c r="I53" s="4" t="inlineStr">
        <is>
          <t>Synthetic menu, category, waiter, chef and available table exist in Branch A; starting state is recorded.</t>
        </is>
      </c>
      <c r="J53" s="4" t="inlineStr">
        <is>
          <t>Use only named synthetic records from the Test Data Plan; capture generated IDs and baseline values in evidence. Never use real credentials, customer PII or secrets.</t>
        </is>
      </c>
      <c r="K53" s="4" t="inlineStr">
        <is>
          <t>Waiter / Coordinator</t>
        </is>
      </c>
      <c r="L53" s="4" t="inlineStr">
        <is>
          <t>Restaurant A / Branch A1 unless the case explicitly tests another scope</t>
        </is>
      </c>
      <c r="M53" s="4" t="inlineStr">
        <is>
          <t>1. Sign in as Waiter / Coordinator, or remain anonymous when the case requires it.
2. Record relevant UI, API and database baseline identifiers, statuses, counts and balances.
3. Use the documented page/API to verify that zero negative and excessive quantities are rejected.
4. Refresh or repeat through an independent client where concurrency, polling or idempotency applies.
5. Compare the outcome, scope, audit fields and side effects with the expected result; capture evidence.</t>
        </is>
      </c>
      <c r="N53" s="4" t="inlineStr">
        <is>
          <t>The operation is refused with a stable, safe error; no unauthorized or partial mutation occurs. Specifically: Zero negative and excessive quantities are rejected.</t>
        </is>
      </c>
      <c r="O53" s="4" t="inlineStr">
        <is>
          <t>Reverse only synthetic changes through supported UI/API, or restore the approved isolated snapshot; confirm no residual locks, sessions, occupied tables or stock deltas.</t>
        </is>
      </c>
      <c r="P53" s="4" t="inlineStr">
        <is>
          <t>Yes</t>
        </is>
      </c>
      <c r="Q53" s="4" t="inlineStr">
        <is>
          <t>Timestamped screenshots for UI; request/response with secrets redacted for API; query IDs/counts/balances for transactions; export/build artifact or monitoring trace where applicable.</t>
        </is>
      </c>
      <c r="R53" s="4" t="inlineStr">
        <is>
          <t>Planned / Not Yet Executed</t>
        </is>
      </c>
      <c r="S53" s="4" t="inlineStr"/>
      <c r="T53" s="4" t="inlineStr"/>
      <c r="U53" s="4" t="inlineStr"/>
      <c r="V53" s="4" t="inlineStr"/>
      <c r="W53" s="4" t="inlineStr"/>
      <c r="X53" s="4" t="inlineStr"/>
    </row>
    <row r="54" ht="72" customHeight="1">
      <c r="A54" s="4" t="inlineStr">
        <is>
          <t>POS-005</t>
        </is>
      </c>
      <c r="B54" s="4" t="inlineStr">
        <is>
          <t>Orders &amp; POS</t>
        </is>
      </c>
      <c r="C54" s="4" t="inlineStr">
        <is>
          <t>FR-O01, FR-O02, FR-O04, FR-O05, FR-O06, FR-O07</t>
        </is>
      </c>
      <c r="D54" s="4" t="inlineStr">
        <is>
          <t>Unavailable menu item cannot be ordered</t>
        </is>
      </c>
      <c r="E54" s="4" t="inlineStr">
        <is>
          <t>Verify, without assuming a pass result, that the release candidate correctly enforces: Unavailable menu item cannot be ordered.</t>
        </is>
      </c>
      <c r="F54" s="4" t="inlineStr">
        <is>
          <t>Negative</t>
        </is>
      </c>
      <c r="G54" s="4" t="inlineStr">
        <is>
          <t>High</t>
        </is>
      </c>
      <c r="H54" s="4" t="inlineStr">
        <is>
          <t>High</t>
        </is>
      </c>
      <c r="I54" s="4" t="inlineStr">
        <is>
          <t>Synthetic menu, category, waiter, chef and available table exist in Branch A; starting state is recorded.</t>
        </is>
      </c>
      <c r="J54" s="4" t="inlineStr">
        <is>
          <t>Use only named synthetic records from the Test Data Plan; capture generated IDs and baseline values in evidence. Never use real credentials, customer PII or secrets.</t>
        </is>
      </c>
      <c r="K54" s="4" t="inlineStr">
        <is>
          <t>Waiter / Coordinator</t>
        </is>
      </c>
      <c r="L54" s="4" t="inlineStr">
        <is>
          <t>Restaurant A / Branch A1 unless the case explicitly tests another scope</t>
        </is>
      </c>
      <c r="M54" s="4" t="inlineStr">
        <is>
          <t>1. Sign in as Waiter / Coordinator, or remain anonymous when the case requires it.
2. Record relevant UI, API and database baseline identifiers, statuses, counts and balances.
3. Use the documented page/API to verify that unavailable menu item cannot be ordered.
4. Refresh or repeat through an independent client where concurrency, polling or idempotency applies.
5. Compare the outcome, scope, audit fields and side effects with the expected result; capture evidence.</t>
        </is>
      </c>
      <c r="N54" s="4" t="inlineStr">
        <is>
          <t>The operation is refused with a stable, safe error; no unauthorized or partial mutation occurs. Specifically: Unavailable menu item cannot be ordered.</t>
        </is>
      </c>
      <c r="O54" s="4" t="inlineStr">
        <is>
          <t>Reverse only synthetic changes through supported UI/API, or restore the approved isolated snapshot; confirm no residual locks, sessions, occupied tables or stock deltas.</t>
        </is>
      </c>
      <c r="P54" s="4" t="inlineStr">
        <is>
          <t>Yes</t>
        </is>
      </c>
      <c r="Q54" s="4" t="inlineStr">
        <is>
          <t>Timestamped screenshots for UI; request/response with secrets redacted for API; query IDs/counts/balances for transactions; export/build artifact or monitoring trace where applicable.</t>
        </is>
      </c>
      <c r="R54" s="4" t="inlineStr">
        <is>
          <t>Planned / Not Yet Executed</t>
        </is>
      </c>
      <c r="S54" s="4" t="inlineStr"/>
      <c r="T54" s="4" t="inlineStr"/>
      <c r="U54" s="4" t="inlineStr"/>
      <c r="V54" s="4" t="inlineStr"/>
      <c r="W54" s="4" t="inlineStr"/>
      <c r="X54" s="4" t="inlineStr"/>
    </row>
    <row r="55" ht="72" customHeight="1">
      <c r="A55" s="4" t="inlineStr">
        <is>
          <t>POS-006</t>
        </is>
      </c>
      <c r="B55" s="4" t="inlineStr">
        <is>
          <t>Orders &amp; POS</t>
        </is>
      </c>
      <c r="C55" s="4" t="inlineStr">
        <is>
          <t>FR-O01, FR-O02, FR-O04, FR-O05, FR-O06, FR-O07</t>
        </is>
      </c>
      <c r="D55" s="4" t="inlineStr">
        <is>
          <t>Order captures immutable unit price at submission</t>
        </is>
      </c>
      <c r="E55" s="4" t="inlineStr">
        <is>
          <t>Verify, without assuming a pass result, that the release candidate correctly enforces: Order captures immutable unit price at submission.</t>
        </is>
      </c>
      <c r="F55" s="4" t="inlineStr">
        <is>
          <t>Positive</t>
        </is>
      </c>
      <c r="G55" s="4" t="inlineStr">
        <is>
          <t>High</t>
        </is>
      </c>
      <c r="H55" s="4" t="inlineStr">
        <is>
          <t>High</t>
        </is>
      </c>
      <c r="I55" s="4" t="inlineStr">
        <is>
          <t>Synthetic menu, category, waiter, chef and available table exist in Branch A; starting state is recorded.</t>
        </is>
      </c>
      <c r="J55" s="4" t="inlineStr">
        <is>
          <t>Use only named synthetic records from the Test Data Plan; capture generated IDs and baseline values in evidence. Never use real credentials, customer PII or secrets.</t>
        </is>
      </c>
      <c r="K55" s="4" t="inlineStr">
        <is>
          <t>Waiter / Coordinator</t>
        </is>
      </c>
      <c r="L55" s="4" t="inlineStr">
        <is>
          <t>Restaurant A / Branch A1 unless the case explicitly tests another scope</t>
        </is>
      </c>
      <c r="M55" s="4" t="inlineStr">
        <is>
          <t>1. Sign in as Waiter / Coordinator, or remain anonymous when the case requires it.
2. Record relevant UI, API and database baseline identifiers, statuses, counts and balances.
3. Use the documented page/API to verify that order captures immutable unit price at submission.
4. Refresh or repeat through an independent client where concurrency, polling or idempotency applies.
5. Compare the outcome, scope, audit fields and side effects with the expected result; capture evidence.</t>
        </is>
      </c>
      <c r="N55" s="4" t="inlineStr">
        <is>
          <t>The release candidate demonstrates the specified behavior exactly and only within the actor's authorized scope: Order captures immutable unit price at submission. No unrelated record changes.</t>
        </is>
      </c>
      <c r="O55" s="4" t="inlineStr">
        <is>
          <t>Reverse only synthetic changes through supported UI/API, or restore the approved isolated snapshot; confirm no residual locks, sessions, occupied tables or stock deltas.</t>
        </is>
      </c>
      <c r="P55" s="4" t="inlineStr">
        <is>
          <t>Yes</t>
        </is>
      </c>
      <c r="Q55" s="4" t="inlineStr">
        <is>
          <t>Timestamped screenshots for UI; request/response with secrets redacted for API; query IDs/counts/balances for transactions; export/build artifact or monitoring trace where applicable.</t>
        </is>
      </c>
      <c r="R55" s="4" t="inlineStr">
        <is>
          <t>Planned / Not Yet Executed</t>
        </is>
      </c>
      <c r="S55" s="4" t="inlineStr"/>
      <c r="T55" s="4" t="inlineStr"/>
      <c r="U55" s="4" t="inlineStr"/>
      <c r="V55" s="4" t="inlineStr"/>
      <c r="W55" s="4" t="inlineStr"/>
      <c r="X55" s="4" t="inlineStr"/>
    </row>
    <row r="56" ht="72" customHeight="1">
      <c r="A56" s="4" t="inlineStr">
        <is>
          <t>POS-007</t>
        </is>
      </c>
      <c r="B56" s="4" t="inlineStr">
        <is>
          <t>Orders &amp; POS</t>
        </is>
      </c>
      <c r="C56" s="4" t="inlineStr">
        <is>
          <t>FR-O01, FR-O02, FR-O04, FR-O05, FR-O06, FR-O07</t>
        </is>
      </c>
      <c r="D56" s="4" t="inlineStr">
        <is>
          <t>Service charge and item arithmetic produce the exact ETB total</t>
        </is>
      </c>
      <c r="E56" s="4" t="inlineStr">
        <is>
          <t>Verify, without assuming a pass result, that the release candidate correctly enforces: Service charge and item arithmetic produce the exact ETB total.</t>
        </is>
      </c>
      <c r="F56" s="4" t="inlineStr">
        <is>
          <t>Positive</t>
        </is>
      </c>
      <c r="G56" s="4" t="inlineStr">
        <is>
          <t>Medium</t>
        </is>
      </c>
      <c r="H56" s="4" t="inlineStr">
        <is>
          <t>Medium</t>
        </is>
      </c>
      <c r="I56" s="4" t="inlineStr">
        <is>
          <t>Synthetic menu, category, waiter, chef and available table exist in Branch A; starting state is recorded.</t>
        </is>
      </c>
      <c r="J56" s="4" t="inlineStr">
        <is>
          <t>Use only named synthetic records from the Test Data Plan; capture generated IDs and baseline values in evidence. Never use real credentials, customer PII or secrets.</t>
        </is>
      </c>
      <c r="K56" s="4" t="inlineStr">
        <is>
          <t>Waiter / Coordinator</t>
        </is>
      </c>
      <c r="L56" s="4" t="inlineStr">
        <is>
          <t>Restaurant A / Branch A1 unless the case explicitly tests another scope</t>
        </is>
      </c>
      <c r="M56" s="4" t="inlineStr">
        <is>
          <t>1. Sign in as Waiter / Coordinator, or remain anonymous when the case requires it.
2. Record relevant UI, API and database baseline identifiers, statuses, counts and balances.
3. Use the documented page/API to verify that service charge and item arithmetic produce the exact ETB total.
4. Refresh or repeat through an independent client where concurrency, polling or idempotency applies.
5. Compare the outcome, scope, audit fields and side effects with the expected result; capture evidence.</t>
        </is>
      </c>
      <c r="N56" s="4" t="inlineStr">
        <is>
          <t>The release candidate demonstrates the specified behavior exactly and only within the actor's authorized scope: Service charge and item arithmetic produce the exact ETB total. No unrelated record changes.</t>
        </is>
      </c>
      <c r="O56" s="4" t="inlineStr">
        <is>
          <t>Reverse only synthetic changes through supported UI/API, or restore the approved isolated snapshot; confirm no residual locks, sessions, occupied tables or stock deltas.</t>
        </is>
      </c>
      <c r="P56" s="4" t="inlineStr">
        <is>
          <t>Yes</t>
        </is>
      </c>
      <c r="Q56" s="4" t="inlineStr">
        <is>
          <t>Timestamped screenshots for UI; request/response with secrets redacted for API; query IDs/counts/balances for transactions; export/build artifact or monitoring trace where applicable.</t>
        </is>
      </c>
      <c r="R56" s="4" t="inlineStr">
        <is>
          <t>Planned / Not Yet Executed</t>
        </is>
      </c>
      <c r="S56" s="4" t="inlineStr"/>
      <c r="T56" s="4" t="inlineStr"/>
      <c r="U56" s="4" t="inlineStr"/>
      <c r="V56" s="4" t="inlineStr"/>
      <c r="W56" s="4" t="inlineStr"/>
      <c r="X56" s="4" t="inlineStr"/>
    </row>
    <row r="57" ht="72" customHeight="1">
      <c r="A57" s="4" t="inlineStr">
        <is>
          <t>POS-008</t>
        </is>
      </c>
      <c r="B57" s="4" t="inlineStr">
        <is>
          <t>Orders &amp; POS</t>
        </is>
      </c>
      <c r="C57" s="4" t="inlineStr">
        <is>
          <t>FR-O01, FR-O02, FR-O04, FR-O05, FR-O06, FR-O07</t>
        </is>
      </c>
      <c r="D57" s="4" t="inlineStr">
        <is>
          <t>Submitting a dine-in order marks its table occupied</t>
        </is>
      </c>
      <c r="E57" s="4" t="inlineStr">
        <is>
          <t>Verify, without assuming a pass result, that the release candidate correctly enforces: Submitting a dine-in order marks its table occupied.</t>
        </is>
      </c>
      <c r="F57" s="4" t="inlineStr">
        <is>
          <t>Positive</t>
        </is>
      </c>
      <c r="G57" s="4" t="inlineStr">
        <is>
          <t>High</t>
        </is>
      </c>
      <c r="H57" s="4" t="inlineStr">
        <is>
          <t>High</t>
        </is>
      </c>
      <c r="I57" s="4" t="inlineStr">
        <is>
          <t>Synthetic menu, category, waiter, chef and available table exist in Branch A; starting state is recorded.</t>
        </is>
      </c>
      <c r="J57" s="4" t="inlineStr">
        <is>
          <t>Use only named synthetic records from the Test Data Plan; capture generated IDs and baseline values in evidence. Never use real credentials, customer PII or secrets.</t>
        </is>
      </c>
      <c r="K57" s="4" t="inlineStr">
        <is>
          <t>Waiter / Coordinator</t>
        </is>
      </c>
      <c r="L57" s="4" t="inlineStr">
        <is>
          <t>Restaurant A / Branch A1 unless the case explicitly tests another scope</t>
        </is>
      </c>
      <c r="M57" s="4" t="inlineStr">
        <is>
          <t>1. Sign in as Waiter / Coordinator, or remain anonymous when the case requires it.
2. Record relevant UI, API and database baseline identifiers, statuses, counts and balances.
3. Use the documented page/API to verify that submitting a dine-in order marks its table occupied.
4. Refresh or repeat through an independent client where concurrency, polling or idempotency applies.
5. Compare the outcome, scope, audit fields and side effects with the expected result; capture evidence.</t>
        </is>
      </c>
      <c r="N57" s="4" t="inlineStr">
        <is>
          <t>The release candidate demonstrates the specified behavior exactly and only within the actor's authorized scope: Submitting a dine-in order marks its table occupied. No unrelated record changes.</t>
        </is>
      </c>
      <c r="O57" s="4" t="inlineStr">
        <is>
          <t>Reverse only synthetic changes through supported UI/API, or restore the approved isolated snapshot; confirm no residual locks, sessions, occupied tables or stock deltas.</t>
        </is>
      </c>
      <c r="P57" s="4" t="inlineStr">
        <is>
          <t>Yes</t>
        </is>
      </c>
      <c r="Q57" s="4" t="inlineStr">
        <is>
          <t>Timestamped screenshots for UI; request/response with secrets redacted for API; query IDs/counts/balances for transactions; export/build artifact or monitoring trace where applicable.</t>
        </is>
      </c>
      <c r="R57" s="4" t="inlineStr">
        <is>
          <t>Planned / Not Yet Executed</t>
        </is>
      </c>
      <c r="S57" s="4" t="inlineStr"/>
      <c r="T57" s="4" t="inlineStr"/>
      <c r="U57" s="4" t="inlineStr"/>
      <c r="V57" s="4" t="inlineStr"/>
      <c r="W57" s="4" t="inlineStr"/>
      <c r="X57" s="4" t="inlineStr"/>
    </row>
    <row r="58" ht="72" customHeight="1">
      <c r="A58" s="4" t="inlineStr">
        <is>
          <t>POS-009</t>
        </is>
      </c>
      <c r="B58" s="4" t="inlineStr">
        <is>
          <t>Orders &amp; POS</t>
        </is>
      </c>
      <c r="C58" s="4" t="inlineStr">
        <is>
          <t>FR-O01, FR-O02, FR-O04, FR-O05, FR-O06, FR-O07</t>
        </is>
      </c>
      <c r="D58" s="4" t="inlineStr">
        <is>
          <t>Items can be appended before paid or cancelled status</t>
        </is>
      </c>
      <c r="E58" s="4" t="inlineStr">
        <is>
          <t>Verify, without assuming a pass result, that the release candidate correctly enforces: Items can be appended before paid or cancelled status.</t>
        </is>
      </c>
      <c r="F58" s="4" t="inlineStr">
        <is>
          <t>Positive</t>
        </is>
      </c>
      <c r="G58" s="4" t="inlineStr">
        <is>
          <t>Medium</t>
        </is>
      </c>
      <c r="H58" s="4" t="inlineStr">
        <is>
          <t>Medium</t>
        </is>
      </c>
      <c r="I58" s="4" t="inlineStr">
        <is>
          <t>Synthetic menu, category, waiter, chef and available table exist in Branch A; starting state is recorded.</t>
        </is>
      </c>
      <c r="J58" s="4" t="inlineStr">
        <is>
          <t>Use only named synthetic records from the Test Data Plan; capture generated IDs and baseline values in evidence. Never use real credentials, customer PII or secrets.</t>
        </is>
      </c>
      <c r="K58" s="4" t="inlineStr">
        <is>
          <t>Waiter / Coordinator</t>
        </is>
      </c>
      <c r="L58" s="4" t="inlineStr">
        <is>
          <t>Restaurant A / Branch A1 unless the case explicitly tests another scope</t>
        </is>
      </c>
      <c r="M58" s="4" t="inlineStr">
        <is>
          <t>1. Sign in as Waiter / Coordinator, or remain anonymous when the case requires it.
2. Record relevant UI, API and database baseline identifiers, statuses, counts and balances.
3. Use the documented page/API to verify that items can be appended before paid or cancelled status.
4. Refresh or repeat through an independent client where concurrency, polling or idempotency applies.
5. Compare the outcome, scope, audit fields and side effects with the expected result; capture evidence.</t>
        </is>
      </c>
      <c r="N58" s="4" t="inlineStr">
        <is>
          <t>The release candidate demonstrates the specified behavior exactly and only within the actor's authorized scope: Items can be appended before paid or cancelled status. No unrelated record changes.</t>
        </is>
      </c>
      <c r="O58" s="4" t="inlineStr">
        <is>
          <t>Reverse only synthetic changes through supported UI/API, or restore the approved isolated snapshot; confirm no residual locks, sessions, occupied tables or stock deltas.</t>
        </is>
      </c>
      <c r="P58" s="4" t="inlineStr">
        <is>
          <t>Yes</t>
        </is>
      </c>
      <c r="Q58" s="4" t="inlineStr">
        <is>
          <t>Timestamped screenshots for UI; request/response with secrets redacted for API; query IDs/counts/balances for transactions; export/build artifact or monitoring trace where applicable.</t>
        </is>
      </c>
      <c r="R58" s="4" t="inlineStr">
        <is>
          <t>Planned / Not Yet Executed</t>
        </is>
      </c>
      <c r="S58" s="4" t="inlineStr"/>
      <c r="T58" s="4" t="inlineStr"/>
      <c r="U58" s="4" t="inlineStr"/>
      <c r="V58" s="4" t="inlineStr"/>
      <c r="W58" s="4" t="inlineStr"/>
      <c r="X58" s="4" t="inlineStr"/>
    </row>
    <row r="59" ht="72" customHeight="1">
      <c r="A59" s="4" t="inlineStr">
        <is>
          <t>POS-010</t>
        </is>
      </c>
      <c r="B59" s="4" t="inlineStr">
        <is>
          <t>Orders &amp; POS</t>
        </is>
      </c>
      <c r="C59" s="4" t="inlineStr">
        <is>
          <t>FR-O01, FR-O02, FR-O04, FR-O05, FR-O06, FR-O07</t>
        </is>
      </c>
      <c r="D59" s="4" t="inlineStr">
        <is>
          <t>Appending to a paid order is rejected</t>
        </is>
      </c>
      <c r="E59" s="4" t="inlineStr">
        <is>
          <t>Verify, without assuming a pass result, that the release candidate correctly enforces: Appending to a paid order is rejected.</t>
        </is>
      </c>
      <c r="F59" s="4" t="inlineStr">
        <is>
          <t>Negative</t>
        </is>
      </c>
      <c r="G59" s="4" t="inlineStr">
        <is>
          <t>High</t>
        </is>
      </c>
      <c r="H59" s="4" t="inlineStr">
        <is>
          <t>High</t>
        </is>
      </c>
      <c r="I59" s="4" t="inlineStr">
        <is>
          <t>Synthetic menu, category, waiter, chef and available table exist in Branch A; starting state is recorded.</t>
        </is>
      </c>
      <c r="J59" s="4" t="inlineStr">
        <is>
          <t>Use only named synthetic records from the Test Data Plan; capture generated IDs and baseline values in evidence. Never use real credentials, customer PII or secrets.</t>
        </is>
      </c>
      <c r="K59" s="4" t="inlineStr">
        <is>
          <t>Waiter / Coordinator</t>
        </is>
      </c>
      <c r="L59" s="4" t="inlineStr">
        <is>
          <t>Restaurant A / Branch A1 unless the case explicitly tests another scope</t>
        </is>
      </c>
      <c r="M59" s="4" t="inlineStr">
        <is>
          <t>1. Sign in as Waiter / Coordinator, or remain anonymous when the case requires it.
2. Record relevant UI, API and database baseline identifiers, statuses, counts and balances.
3. Use the documented page/API to verify that appending to a paid order is rejected.
4. Refresh or repeat through an independent client where concurrency, polling or idempotency applies.
5. Compare the outcome, scope, audit fields and side effects with the expected result; capture evidence.</t>
        </is>
      </c>
      <c r="N59" s="4" t="inlineStr">
        <is>
          <t>The operation is refused with a stable, safe error; no unauthorized or partial mutation occurs. Specifically: Appending to a paid order is rejected.</t>
        </is>
      </c>
      <c r="O59" s="4" t="inlineStr">
        <is>
          <t>Reverse only synthetic changes through supported UI/API, or restore the approved isolated snapshot; confirm no residual locks, sessions, occupied tables or stock deltas.</t>
        </is>
      </c>
      <c r="P59" s="4" t="inlineStr">
        <is>
          <t>Yes</t>
        </is>
      </c>
      <c r="Q59" s="4" t="inlineStr">
        <is>
          <t>Timestamped screenshots for UI; request/response with secrets redacted for API; query IDs/counts/balances for transactions; export/build artifact or monitoring trace where applicable.</t>
        </is>
      </c>
      <c r="R59" s="4" t="inlineStr">
        <is>
          <t>Planned / Not Yet Executed</t>
        </is>
      </c>
      <c r="S59" s="4" t="inlineStr"/>
      <c r="T59" s="4" t="inlineStr"/>
      <c r="U59" s="4" t="inlineStr"/>
      <c r="V59" s="4" t="inlineStr"/>
      <c r="W59" s="4" t="inlineStr"/>
      <c r="X59" s="4" t="inlineStr"/>
    </row>
    <row r="60" ht="72" customHeight="1">
      <c r="A60" s="4" t="inlineStr">
        <is>
          <t>POS-011</t>
        </is>
      </c>
      <c r="B60" s="4" t="inlineStr">
        <is>
          <t>Orders &amp; POS</t>
        </is>
      </c>
      <c r="C60" s="4" t="inlineStr">
        <is>
          <t>FR-O01, FR-O02, FR-O04, FR-O05, FR-O06, FR-O07</t>
        </is>
      </c>
      <c r="D60" s="4" t="inlineStr">
        <is>
          <t>Appending to a cancelled order is rejected</t>
        </is>
      </c>
      <c r="E60" s="4" t="inlineStr">
        <is>
          <t>Verify, without assuming a pass result, that the release candidate correctly enforces: Appending to a cancelled order is rejected.</t>
        </is>
      </c>
      <c r="F60" s="4" t="inlineStr">
        <is>
          <t>Negative</t>
        </is>
      </c>
      <c r="G60" s="4" t="inlineStr">
        <is>
          <t>High</t>
        </is>
      </c>
      <c r="H60" s="4" t="inlineStr">
        <is>
          <t>High</t>
        </is>
      </c>
      <c r="I60" s="4" t="inlineStr">
        <is>
          <t>Synthetic menu, category, waiter, chef and available table exist in Branch A; starting state is recorded.</t>
        </is>
      </c>
      <c r="J60" s="4" t="inlineStr">
        <is>
          <t>Use only named synthetic records from the Test Data Plan; capture generated IDs and baseline values in evidence. Never use real credentials, customer PII or secrets.</t>
        </is>
      </c>
      <c r="K60" s="4" t="inlineStr">
        <is>
          <t>Waiter / Coordinator</t>
        </is>
      </c>
      <c r="L60" s="4" t="inlineStr">
        <is>
          <t>Restaurant A / Branch A1 unless the case explicitly tests another scope</t>
        </is>
      </c>
      <c r="M60" s="4" t="inlineStr">
        <is>
          <t>1. Sign in as Waiter / Coordinator, or remain anonymous when the case requires it.
2. Record relevant UI, API and database baseline identifiers, statuses, counts and balances.
3. Use the documented page/API to verify that appending to a cancelled order is rejected.
4. Refresh or repeat through an independent client where concurrency, polling or idempotency applies.
5. Compare the outcome, scope, audit fields and side effects with the expected result; capture evidence.</t>
        </is>
      </c>
      <c r="N60" s="4" t="inlineStr">
        <is>
          <t>The operation is refused with a stable, safe error; no unauthorized or partial mutation occurs. Specifically: Appending to a cancelled order is rejected.</t>
        </is>
      </c>
      <c r="O60" s="4" t="inlineStr">
        <is>
          <t>Reverse only synthetic changes through supported UI/API, or restore the approved isolated snapshot; confirm no residual locks, sessions, occupied tables or stock deltas.</t>
        </is>
      </c>
      <c r="P60" s="4" t="inlineStr">
        <is>
          <t>Yes</t>
        </is>
      </c>
      <c r="Q60" s="4" t="inlineStr">
        <is>
          <t>Timestamped screenshots for UI; request/response with secrets redacted for API; query IDs/counts/balances for transactions; export/build artifact or monitoring trace where applicable.</t>
        </is>
      </c>
      <c r="R60" s="4" t="inlineStr">
        <is>
          <t>Planned / Not Yet Executed</t>
        </is>
      </c>
      <c r="S60" s="4" t="inlineStr"/>
      <c r="T60" s="4" t="inlineStr"/>
      <c r="U60" s="4" t="inlineStr"/>
      <c r="V60" s="4" t="inlineStr"/>
      <c r="W60" s="4" t="inlineStr"/>
      <c r="X60" s="4" t="inlineStr"/>
    </row>
    <row r="61" ht="72" customHeight="1">
      <c r="A61" s="4" t="inlineStr">
        <is>
          <t>POS-012</t>
        </is>
      </c>
      <c r="B61" s="4" t="inlineStr">
        <is>
          <t>Orders &amp; POS</t>
        </is>
      </c>
      <c r="C61" s="4" t="inlineStr">
        <is>
          <t>FR-O01, FR-O02, FR-O04, FR-O05, FR-O06, FR-O07</t>
        </is>
      </c>
      <c r="D61" s="4" t="inlineStr">
        <is>
          <t>Valid lifecycle reaches pending confirmed preparing ready served paid</t>
        </is>
      </c>
      <c r="E61" s="4" t="inlineStr">
        <is>
          <t>Verify, without assuming a pass result, that the release candidate correctly enforces: Valid lifecycle reaches pending confirmed preparing ready served paid.</t>
        </is>
      </c>
      <c r="F61" s="4" t="inlineStr">
        <is>
          <t>Positive</t>
        </is>
      </c>
      <c r="G61" s="4" t="inlineStr">
        <is>
          <t>Medium</t>
        </is>
      </c>
      <c r="H61" s="4" t="inlineStr">
        <is>
          <t>Medium</t>
        </is>
      </c>
      <c r="I61" s="4" t="inlineStr">
        <is>
          <t>Synthetic menu, category, waiter, chef and available table exist in Branch A; starting state is recorded.</t>
        </is>
      </c>
      <c r="J61" s="4" t="inlineStr">
        <is>
          <t>Use only named synthetic records from the Test Data Plan; capture generated IDs and baseline values in evidence. Never use real credentials, customer PII or secrets.</t>
        </is>
      </c>
      <c r="K61" s="4" t="inlineStr">
        <is>
          <t>Waiter / Coordinator</t>
        </is>
      </c>
      <c r="L61" s="4" t="inlineStr">
        <is>
          <t>Restaurant A / Branch A1 unless the case explicitly tests another scope</t>
        </is>
      </c>
      <c r="M61" s="4" t="inlineStr">
        <is>
          <t>1. Sign in as Waiter / Coordinator, or remain anonymous when the case requires it.
2. Record relevant UI, API and database baseline identifiers, statuses, counts and balances.
3. Use the documented page/API to verify that valid lifecycle reaches pending confirmed preparing ready served paid.
4. Refresh or repeat through an independent client where concurrency, polling or idempotency applies.
5. Compare the outcome, scope, audit fields and side effects with the expected result; capture evidence.</t>
        </is>
      </c>
      <c r="N61" s="4" t="inlineStr">
        <is>
          <t>The release candidate demonstrates the specified behavior exactly and only within the actor's authorized scope: Valid lifecycle reaches pending confirmed preparing ready served paid. No unrelated record changes.</t>
        </is>
      </c>
      <c r="O61" s="4" t="inlineStr">
        <is>
          <t>Reverse only synthetic changes through supported UI/API, or restore the approved isolated snapshot; confirm no residual locks, sessions, occupied tables or stock deltas.</t>
        </is>
      </c>
      <c r="P61" s="4" t="inlineStr">
        <is>
          <t>Yes</t>
        </is>
      </c>
      <c r="Q61" s="4" t="inlineStr">
        <is>
          <t>Timestamped screenshots for UI; request/response with secrets redacted for API; query IDs/counts/balances for transactions; export/build artifact or monitoring trace where applicable.</t>
        </is>
      </c>
      <c r="R61" s="4" t="inlineStr">
        <is>
          <t>Planned / Not Yet Executed</t>
        </is>
      </c>
      <c r="S61" s="4" t="inlineStr"/>
      <c r="T61" s="4" t="inlineStr"/>
      <c r="U61" s="4" t="inlineStr"/>
      <c r="V61" s="4" t="inlineStr"/>
      <c r="W61" s="4" t="inlineStr"/>
      <c r="X61" s="4" t="inlineStr"/>
    </row>
    <row r="62" ht="72" customHeight="1">
      <c r="A62" s="4" t="inlineStr">
        <is>
          <t>POS-013</t>
        </is>
      </c>
      <c r="B62" s="4" t="inlineStr">
        <is>
          <t>Orders &amp; POS</t>
        </is>
      </c>
      <c r="C62" s="4" t="inlineStr">
        <is>
          <t>FR-O01, FR-O02, FR-O04, FR-O05, FR-O06, FR-O07</t>
        </is>
      </c>
      <c r="D62" s="4" t="inlineStr">
        <is>
          <t>Illegal status transition is rejected</t>
        </is>
      </c>
      <c r="E62" s="4" t="inlineStr">
        <is>
          <t>Verify, without assuming a pass result, that the release candidate correctly enforces: Illegal status transition is rejected.</t>
        </is>
      </c>
      <c r="F62" s="4" t="inlineStr">
        <is>
          <t>Negative</t>
        </is>
      </c>
      <c r="G62" s="4" t="inlineStr">
        <is>
          <t>Medium</t>
        </is>
      </c>
      <c r="H62" s="4" t="inlineStr">
        <is>
          <t>Medium</t>
        </is>
      </c>
      <c r="I62" s="4" t="inlineStr">
        <is>
          <t>Synthetic menu, category, waiter, chef and available table exist in Branch A; starting state is recorded.</t>
        </is>
      </c>
      <c r="J62" s="4" t="inlineStr">
        <is>
          <t>Use only named synthetic records from the Test Data Plan; capture generated IDs and baseline values in evidence. Never use real credentials, customer PII or secrets.</t>
        </is>
      </c>
      <c r="K62" s="4" t="inlineStr">
        <is>
          <t>Waiter / Coordinator</t>
        </is>
      </c>
      <c r="L62" s="4" t="inlineStr">
        <is>
          <t>Restaurant A / Branch A1 unless the case explicitly tests another scope</t>
        </is>
      </c>
      <c r="M62" s="4" t="inlineStr">
        <is>
          <t>1. Sign in as Waiter / Coordinator, or remain anonymous when the case requires it.
2. Record relevant UI, API and database baseline identifiers, statuses, counts and balances.
3. Use the documented page/API to verify that illegal status transition is rejected.
4. Refresh or repeat through an independent client where concurrency, polling or idempotency applies.
5. Compare the outcome, scope, audit fields and side effects with the expected result; capture evidence.</t>
        </is>
      </c>
      <c r="N62" s="4" t="inlineStr">
        <is>
          <t>The operation is refused with a stable, safe error; no unauthorized or partial mutation occurs. Specifically: Illegal status transition is rejected.</t>
        </is>
      </c>
      <c r="O62" s="4" t="inlineStr">
        <is>
          <t>Reverse only synthetic changes through supported UI/API, or restore the approved isolated snapshot; confirm no residual locks, sessions, occupied tables or stock deltas.</t>
        </is>
      </c>
      <c r="P62" s="4" t="inlineStr">
        <is>
          <t>Yes</t>
        </is>
      </c>
      <c r="Q62" s="4" t="inlineStr">
        <is>
          <t>Timestamped screenshots for UI; request/response with secrets redacted for API; query IDs/counts/balances for transactions; export/build artifact or monitoring trace where applicable.</t>
        </is>
      </c>
      <c r="R62" s="4" t="inlineStr">
        <is>
          <t>Planned / Not Yet Executed</t>
        </is>
      </c>
      <c r="S62" s="4" t="inlineStr"/>
      <c r="T62" s="4" t="inlineStr"/>
      <c r="U62" s="4" t="inlineStr"/>
      <c r="V62" s="4" t="inlineStr"/>
      <c r="W62" s="4" t="inlineStr"/>
      <c r="X62" s="4" t="inlineStr"/>
    </row>
    <row r="63" ht="72" customHeight="1">
      <c r="A63" s="4" t="inlineStr">
        <is>
          <t>POS-014</t>
        </is>
      </c>
      <c r="B63" s="4" t="inlineStr">
        <is>
          <t>Orders &amp; POS</t>
        </is>
      </c>
      <c r="C63" s="4" t="inlineStr">
        <is>
          <t>FR-O01, FR-O02, FR-O04, FR-O05, FR-O06, FR-O07</t>
        </is>
      </c>
      <c r="D63" s="4" t="inlineStr">
        <is>
          <t>Cancellation succeeds only before ready</t>
        </is>
      </c>
      <c r="E63" s="4" t="inlineStr">
        <is>
          <t>Verify, without assuming a pass result, that the release candidate correctly enforces: Cancellation succeeds only before ready.</t>
        </is>
      </c>
      <c r="F63" s="4" t="inlineStr">
        <is>
          <t>Authorization</t>
        </is>
      </c>
      <c r="G63" s="4" t="inlineStr">
        <is>
          <t>High</t>
        </is>
      </c>
      <c r="H63" s="4" t="inlineStr">
        <is>
          <t>High</t>
        </is>
      </c>
      <c r="I63" s="4" t="inlineStr">
        <is>
          <t>Synthetic menu, category, waiter, chef and available table exist in Branch A; starting state is recorded.</t>
        </is>
      </c>
      <c r="J63" s="4" t="inlineStr">
        <is>
          <t>Use only named synthetic records from the Test Data Plan; capture generated IDs and baseline values in evidence. Never use real credentials, customer PII or secrets.</t>
        </is>
      </c>
      <c r="K63" s="4" t="inlineStr">
        <is>
          <t>Waiter / Coordinator</t>
        </is>
      </c>
      <c r="L63" s="4" t="inlineStr">
        <is>
          <t>Restaurant A / Branch A1 unless the case explicitly tests another scope</t>
        </is>
      </c>
      <c r="M63" s="4" t="inlineStr">
        <is>
          <t>1. Sign in as Waiter / Coordinator, or remain anonymous when the case requires it.
2. Record relevant UI, API and database baseline identifiers, statuses, counts and balances.
3. Use the documented page/API to verify that cancellation succeeds only before ready.
4. Refresh or repeat through an independent client where concurrency, polling or idempotency applies.
5. Compare the outcome, scope, audit fields and side effects with the expected result; capture evidence.</t>
        </is>
      </c>
      <c r="N63" s="4" t="inlineStr">
        <is>
          <t>The release candidate demonstrates the specified behavior exactly and only within the actor's authorized scope: Cancellation succeeds only before ready. No unrelated record changes.</t>
        </is>
      </c>
      <c r="O63" s="4" t="inlineStr">
        <is>
          <t>Reverse only synthetic changes through supported UI/API, or restore the approved isolated snapshot; confirm no residual locks, sessions, occupied tables or stock deltas.</t>
        </is>
      </c>
      <c r="P63" s="4" t="inlineStr">
        <is>
          <t>Yes</t>
        </is>
      </c>
      <c r="Q63" s="4" t="inlineStr">
        <is>
          <t>Timestamped screenshots for UI; request/response with secrets redacted for API; query IDs/counts/balances for transactions; export/build artifact or monitoring trace where applicable.</t>
        </is>
      </c>
      <c r="R63" s="4" t="inlineStr">
        <is>
          <t>Planned / Not Yet Executed</t>
        </is>
      </c>
      <c r="S63" s="4" t="inlineStr"/>
      <c r="T63" s="4" t="inlineStr"/>
      <c r="U63" s="4" t="inlineStr"/>
      <c r="V63" s="4" t="inlineStr"/>
      <c r="W63" s="4" t="inlineStr"/>
      <c r="X63" s="4" t="inlineStr"/>
    </row>
    <row r="64" ht="72" customHeight="1">
      <c r="A64" s="4" t="inlineStr">
        <is>
          <t>POS-015</t>
        </is>
      </c>
      <c r="B64" s="4" t="inlineStr">
        <is>
          <t>Orders &amp; POS</t>
        </is>
      </c>
      <c r="C64" s="4" t="inlineStr">
        <is>
          <t>FR-O01, FR-O02, FR-O04, FR-O05, FR-O06, FR-O07</t>
        </is>
      </c>
      <c r="D64" s="4" t="inlineStr">
        <is>
          <t>Cancellation at ready served or paid is rejected</t>
        </is>
      </c>
      <c r="E64" s="4" t="inlineStr">
        <is>
          <t>Verify, without assuming a pass result, that the release candidate correctly enforces: Cancellation at ready served or paid is rejected.</t>
        </is>
      </c>
      <c r="F64" s="4" t="inlineStr">
        <is>
          <t>Negative</t>
        </is>
      </c>
      <c r="G64" s="4" t="inlineStr">
        <is>
          <t>Medium</t>
        </is>
      </c>
      <c r="H64" s="4" t="inlineStr">
        <is>
          <t>Medium</t>
        </is>
      </c>
      <c r="I64" s="4" t="inlineStr">
        <is>
          <t>Synthetic menu, category, waiter, chef and available table exist in Branch A; starting state is recorded.</t>
        </is>
      </c>
      <c r="J64" s="4" t="inlineStr">
        <is>
          <t>Use only named synthetic records from the Test Data Plan; capture generated IDs and baseline values in evidence. Never use real credentials, customer PII or secrets.</t>
        </is>
      </c>
      <c r="K64" s="4" t="inlineStr">
        <is>
          <t>Waiter / Coordinator</t>
        </is>
      </c>
      <c r="L64" s="4" t="inlineStr">
        <is>
          <t>Restaurant A / Branch A1 unless the case explicitly tests another scope</t>
        </is>
      </c>
      <c r="M64" s="4" t="inlineStr">
        <is>
          <t>1. Sign in as Waiter / Coordinator, or remain anonymous when the case requires it.
2. Record relevant UI, API and database baseline identifiers, statuses, counts and balances.
3. Use the documented page/API to verify that cancellation at ready served or paid is rejected.
4. Refresh or repeat through an independent client where concurrency, polling or idempotency applies.
5. Compare the outcome, scope, audit fields and side effects with the expected result; capture evidence.</t>
        </is>
      </c>
      <c r="N64" s="4" t="inlineStr">
        <is>
          <t>The operation is refused with a stable, safe error; no unauthorized or partial mutation occurs. Specifically: Cancellation at ready served or paid is rejected.</t>
        </is>
      </c>
      <c r="O64" s="4" t="inlineStr">
        <is>
          <t>Reverse only synthetic changes through supported UI/API, or restore the approved isolated snapshot; confirm no residual locks, sessions, occupied tables or stock deltas.</t>
        </is>
      </c>
      <c r="P64" s="4" t="inlineStr">
        <is>
          <t>Yes</t>
        </is>
      </c>
      <c r="Q64" s="4" t="inlineStr">
        <is>
          <t>Timestamped screenshots for UI; request/response with secrets redacted for API; query IDs/counts/balances for transactions; export/build artifact or monitoring trace where applicable.</t>
        </is>
      </c>
      <c r="R64" s="4" t="inlineStr">
        <is>
          <t>Planned / Not Yet Executed</t>
        </is>
      </c>
      <c r="S64" s="4" t="inlineStr"/>
      <c r="T64" s="4" t="inlineStr"/>
      <c r="U64" s="4" t="inlineStr"/>
      <c r="V64" s="4" t="inlineStr"/>
      <c r="W64" s="4" t="inlineStr"/>
      <c r="X64" s="4" t="inlineStr"/>
    </row>
    <row r="65" ht="72" customHeight="1">
      <c r="A65" s="4" t="inlineStr">
        <is>
          <t>POS-016</t>
        </is>
      </c>
      <c r="B65" s="4" t="inlineStr">
        <is>
          <t>Orders &amp; POS</t>
        </is>
      </c>
      <c r="C65" s="4" t="inlineStr">
        <is>
          <t>FR-O01, FR-O02, FR-O04, FR-O05, FR-O06, FR-O07</t>
        </is>
      </c>
      <c r="D65" s="4" t="inlineStr">
        <is>
          <t>Competing confirmations do not assign two chefs</t>
        </is>
      </c>
      <c r="E65" s="4" t="inlineStr">
        <is>
          <t>Verify, without assuming a pass result, that the release candidate correctly enforces: Competing confirmations do not assign two chefs.</t>
        </is>
      </c>
      <c r="F65" s="4" t="inlineStr">
        <is>
          <t>Positive</t>
        </is>
      </c>
      <c r="G65" s="4" t="inlineStr">
        <is>
          <t>Medium</t>
        </is>
      </c>
      <c r="H65" s="4" t="inlineStr">
        <is>
          <t>Medium</t>
        </is>
      </c>
      <c r="I65" s="4" t="inlineStr">
        <is>
          <t>Synthetic menu, category, waiter, chef and available table exist in Branch A; starting state is recorded.</t>
        </is>
      </c>
      <c r="J65" s="4" t="inlineStr">
        <is>
          <t>Use only named synthetic records from the Test Data Plan; capture generated IDs and baseline values in evidence. Never use real credentials, customer PII or secrets.</t>
        </is>
      </c>
      <c r="K65" s="4" t="inlineStr">
        <is>
          <t>Waiter / Coordinator</t>
        </is>
      </c>
      <c r="L65" s="4" t="inlineStr">
        <is>
          <t>Restaurant A / Branch A1 unless the case explicitly tests another scope</t>
        </is>
      </c>
      <c r="M65" s="4" t="inlineStr">
        <is>
          <t>1. Sign in as Waiter / Coordinator, or remain anonymous when the case requires it.
2. Record relevant UI, API and database baseline identifiers, statuses, counts and balances.
3. Use the documented page/API to verify that competing confirmations do not assign two chefs.
4. Refresh or repeat through an independent client where concurrency, polling or idempotency applies.
5. Compare the outcome, scope, audit fields and side effects with the expected result; capture evidence.</t>
        </is>
      </c>
      <c r="N65" s="4" t="inlineStr">
        <is>
          <t>The release candidate demonstrates the specified behavior exactly and only within the actor's authorized scope: Competing confirmations do not assign two chefs. No unrelated record changes.</t>
        </is>
      </c>
      <c r="O65" s="4" t="inlineStr">
        <is>
          <t>Reverse only synthetic changes through supported UI/API, or restore the approved isolated snapshot; confirm no residual locks, sessions, occupied tables or stock deltas.</t>
        </is>
      </c>
      <c r="P65" s="4" t="inlineStr">
        <is>
          <t>Yes</t>
        </is>
      </c>
      <c r="Q65" s="4" t="inlineStr">
        <is>
          <t>Timestamped screenshots for UI; request/response with secrets redacted for API; query IDs/counts/balances for transactions; export/build artifact or monitoring trace where applicable.</t>
        </is>
      </c>
      <c r="R65" s="4" t="inlineStr">
        <is>
          <t>Planned / Not Yet Executed</t>
        </is>
      </c>
      <c r="S65" s="4" t="inlineStr"/>
      <c r="T65" s="4" t="inlineStr"/>
      <c r="U65" s="4" t="inlineStr"/>
      <c r="V65" s="4" t="inlineStr"/>
      <c r="W65" s="4" t="inlineStr"/>
      <c r="X65" s="4" t="inlineStr"/>
    </row>
    <row r="66" ht="72" customHeight="1">
      <c r="A66" s="4" t="inlineStr">
        <is>
          <t>POS-017</t>
        </is>
      </c>
      <c r="B66" s="4" t="inlineStr">
        <is>
          <t>Orders &amp; POS</t>
        </is>
      </c>
      <c r="C66" s="4" t="inlineStr">
        <is>
          <t>FR-O01, FR-O02, FR-O04, FR-O05, FR-O06, FR-O07</t>
        </is>
      </c>
      <c r="D66" s="4" t="inlineStr">
        <is>
          <t>Concurrent item edits do not lose updates or corrupt totals</t>
        </is>
      </c>
      <c r="E66" s="4" t="inlineStr">
        <is>
          <t>Verify, without assuming a pass result, that the release candidate correctly enforces: Concurrent item edits do not lose updates or corrupt totals.</t>
        </is>
      </c>
      <c r="F66" s="4" t="inlineStr">
        <is>
          <t>Recovery</t>
        </is>
      </c>
      <c r="G66" s="4" t="inlineStr">
        <is>
          <t>High</t>
        </is>
      </c>
      <c r="H66" s="4" t="inlineStr">
        <is>
          <t>High</t>
        </is>
      </c>
      <c r="I66" s="4" t="inlineStr">
        <is>
          <t>Synthetic menu, category, waiter, chef and available table exist in Branch A; starting state is recorded.</t>
        </is>
      </c>
      <c r="J66" s="4" t="inlineStr">
        <is>
          <t>Use only named synthetic records from the Test Data Plan; capture generated IDs and baseline values in evidence. Never use real credentials, customer PII or secrets.</t>
        </is>
      </c>
      <c r="K66" s="4" t="inlineStr">
        <is>
          <t>Waiter / Coordinator</t>
        </is>
      </c>
      <c r="L66" s="4" t="inlineStr">
        <is>
          <t>Restaurant A / Branch A1 unless the case explicitly tests another scope</t>
        </is>
      </c>
      <c r="M66" s="4" t="inlineStr">
        <is>
          <t>1. Sign in as Waiter / Coordinator, or remain anonymous when the case requires it.
2. Record relevant UI, API and database baseline identifiers, statuses, counts and balances.
3. Use the documented page/API to verify that concurrent item edits do not lose updates or corrupt totals.
4. Refresh or repeat through an independent client where concurrency, polling or idempotency applies.
5. Compare the outcome, scope, audit fields and side effects with the expected result; capture evidence.</t>
        </is>
      </c>
      <c r="N66" s="4" t="inlineStr">
        <is>
          <t>The release candidate demonstrates the specified behavior exactly and only within the actor's authorized scope: Concurrent item edits do not lose updates or corrupt totals. No unrelated record changes.</t>
        </is>
      </c>
      <c r="O66" s="4" t="inlineStr">
        <is>
          <t>Reverse only synthetic changes through supported UI/API, or restore the approved isolated snapshot; confirm no residual locks, sessions, occupied tables or stock deltas.</t>
        </is>
      </c>
      <c r="P66" s="4" t="inlineStr">
        <is>
          <t>Yes</t>
        </is>
      </c>
      <c r="Q66" s="4" t="inlineStr">
        <is>
          <t>Timestamped screenshots for UI; request/response with secrets redacted for API; query IDs/counts/balances for transactions; export/build artifact or monitoring trace where applicable.</t>
        </is>
      </c>
      <c r="R66" s="4" t="inlineStr">
        <is>
          <t>Planned / Not Yet Executed</t>
        </is>
      </c>
      <c r="S66" s="4" t="inlineStr"/>
      <c r="T66" s="4" t="inlineStr"/>
      <c r="U66" s="4" t="inlineStr"/>
      <c r="V66" s="4" t="inlineStr"/>
      <c r="W66" s="4" t="inlineStr"/>
      <c r="X66" s="4" t="inlineStr"/>
    </row>
    <row r="67" ht="72" customHeight="1">
      <c r="A67" s="4" t="inlineStr">
        <is>
          <t>POS-018</t>
        </is>
      </c>
      <c r="B67" s="4" t="inlineStr">
        <is>
          <t>Orders &amp; POS</t>
        </is>
      </c>
      <c r="C67" s="4" t="inlineStr">
        <is>
          <t>FR-O01, FR-O02, FR-O04, FR-O05, FR-O06, FR-O07</t>
        </is>
      </c>
      <c r="D67" s="4" t="inlineStr">
        <is>
          <t>Double-click order submission creates at most one order</t>
        </is>
      </c>
      <c r="E67" s="4" t="inlineStr">
        <is>
          <t>Verify, without assuming a pass result, that the release candidate correctly enforces: Double-click order submission creates at most one order.</t>
        </is>
      </c>
      <c r="F67" s="4" t="inlineStr">
        <is>
          <t>Recovery</t>
        </is>
      </c>
      <c r="G67" s="4" t="inlineStr">
        <is>
          <t>High</t>
        </is>
      </c>
      <c r="H67" s="4" t="inlineStr">
        <is>
          <t>High</t>
        </is>
      </c>
      <c r="I67" s="4" t="inlineStr">
        <is>
          <t>Synthetic menu, category, waiter, chef and available table exist in Branch A; starting state is recorded.</t>
        </is>
      </c>
      <c r="J67" s="4" t="inlineStr">
        <is>
          <t>Use only named synthetic records from the Test Data Plan; capture generated IDs and baseline values in evidence. Never use real credentials, customer PII or secrets.</t>
        </is>
      </c>
      <c r="K67" s="4" t="inlineStr">
        <is>
          <t>Waiter / Coordinator</t>
        </is>
      </c>
      <c r="L67" s="4" t="inlineStr">
        <is>
          <t>Restaurant A / Branch A1 unless the case explicitly tests another scope</t>
        </is>
      </c>
      <c r="M67" s="4" t="inlineStr">
        <is>
          <t>1. Sign in as Waiter / Coordinator, or remain anonymous when the case requires it.
2. Record relevant UI, API and database baseline identifiers, statuses, counts and balances.
3. Use the documented page/API to verify that double-click order submission creates at most one order.
4. Refresh or repeat through an independent client where concurrency, polling or idempotency applies.
5. Compare the outcome, scope, audit fields and side effects with the expected result; capture evidence.</t>
        </is>
      </c>
      <c r="N67" s="4" t="inlineStr">
        <is>
          <t>The release candidate demonstrates the specified behavior exactly and only within the actor's authorized scope: Double-click order submission creates at most one order. No unrelated record changes.</t>
        </is>
      </c>
      <c r="O67" s="4" t="inlineStr">
        <is>
          <t>Reverse only synthetic changes through supported UI/API, or restore the approved isolated snapshot; confirm no residual locks, sessions, occupied tables or stock deltas.</t>
        </is>
      </c>
      <c r="P67" s="4" t="inlineStr">
        <is>
          <t>Yes</t>
        </is>
      </c>
      <c r="Q67" s="4" t="inlineStr">
        <is>
          <t>Timestamped screenshots for UI; request/response with secrets redacted for API; query IDs/counts/balances for transactions; export/build artifact or monitoring trace where applicable.</t>
        </is>
      </c>
      <c r="R67" s="4" t="inlineStr">
        <is>
          <t>Planned / Not Yet Executed</t>
        </is>
      </c>
      <c r="S67" s="4" t="inlineStr"/>
      <c r="T67" s="4" t="inlineStr"/>
      <c r="U67" s="4" t="inlineStr"/>
      <c r="V67" s="4" t="inlineStr"/>
      <c r="W67" s="4" t="inlineStr"/>
      <c r="X67" s="4" t="inlineStr"/>
    </row>
    <row r="68" ht="72" customHeight="1">
      <c r="A68" s="4" t="inlineStr">
        <is>
          <t>POS-019</t>
        </is>
      </c>
      <c r="B68" s="4" t="inlineStr">
        <is>
          <t>Orders &amp; POS</t>
        </is>
      </c>
      <c r="C68" s="4" t="inlineStr">
        <is>
          <t>FR-O01, FR-O02, FR-O04, FR-O05, FR-O06, FR-O07</t>
        </is>
      </c>
      <c r="D68" s="4" t="inlineStr">
        <is>
          <t>Order list filters combine status waiter table item date time and payment method</t>
        </is>
      </c>
      <c r="E68" s="4" t="inlineStr">
        <is>
          <t>Verify, without assuming a pass result, that the release candidate correctly enforces: Order list filters combine status waiter table item date time and payment method.</t>
        </is>
      </c>
      <c r="F68" s="4" t="inlineStr">
        <is>
          <t>Positive</t>
        </is>
      </c>
      <c r="G68" s="4" t="inlineStr">
        <is>
          <t>Critical</t>
        </is>
      </c>
      <c r="H68" s="4" t="inlineStr">
        <is>
          <t>Critical</t>
        </is>
      </c>
      <c r="I68" s="4" t="inlineStr">
        <is>
          <t>Synthetic menu, category, waiter, chef and available table exist in Branch A; starting state is recorded.</t>
        </is>
      </c>
      <c r="J68" s="4" t="inlineStr">
        <is>
          <t>Use only named synthetic records from the Test Data Plan; capture generated IDs and baseline values in evidence. Never use real credentials, customer PII or secrets.</t>
        </is>
      </c>
      <c r="K68" s="4" t="inlineStr">
        <is>
          <t>Waiter / Coordinator</t>
        </is>
      </c>
      <c r="L68" s="4" t="inlineStr">
        <is>
          <t>Restaurant A / Branch A1 unless the case explicitly tests another scope</t>
        </is>
      </c>
      <c r="M68" s="4" t="inlineStr">
        <is>
          <t>1. Sign in as Waiter / Coordinator, or remain anonymous when the case requires it.
2. Record relevant UI, API and database baseline identifiers, statuses, counts and balances.
3. Use the documented page/API to verify that order list filters combine status waiter table item date time and payment method.
4. Refresh or repeat through an independent client where concurrency, polling or idempotency applies.
5. Compare the outcome, scope, audit fields and side effects with the expected result; capture evidence.</t>
        </is>
      </c>
      <c r="N68" s="4" t="inlineStr">
        <is>
          <t>The release candidate demonstrates the specified behavior exactly and only within the actor's authorized scope: Order list filters combine status waiter table item date time and payment method. No unrelated record changes.</t>
        </is>
      </c>
      <c r="O68" s="4" t="inlineStr">
        <is>
          <t>Reverse only synthetic changes through supported UI/API, or restore the approved isolated snapshot; confirm no residual locks, sessions, occupied tables or stock deltas.</t>
        </is>
      </c>
      <c r="P68" s="4" t="inlineStr">
        <is>
          <t>Yes</t>
        </is>
      </c>
      <c r="Q68" s="4" t="inlineStr">
        <is>
          <t>Timestamped screenshots for UI; request/response with secrets redacted for API; query IDs/counts/balances for transactions; export/build artifact or monitoring trace where applicable.</t>
        </is>
      </c>
      <c r="R68" s="4" t="inlineStr">
        <is>
          <t>Planned / Not Yet Executed</t>
        </is>
      </c>
      <c r="S68" s="4" t="inlineStr"/>
      <c r="T68" s="4" t="inlineStr"/>
      <c r="U68" s="4" t="inlineStr"/>
      <c r="V68" s="4" t="inlineStr"/>
      <c r="W68" s="4" t="inlineStr"/>
      <c r="X68" s="4" t="inlineStr"/>
    </row>
    <row r="69" ht="72" customHeight="1">
      <c r="A69" s="4" t="inlineStr">
        <is>
          <t>POS-020</t>
        </is>
      </c>
      <c r="B69" s="4" t="inlineStr">
        <is>
          <t>Orders &amp; POS</t>
        </is>
      </c>
      <c r="C69" s="4" t="inlineStr">
        <is>
          <t>FR-O01, FR-O02, FR-O04, FR-O05, FR-O06, FR-O07</t>
        </is>
      </c>
      <c r="D69" s="4" t="inlineStr">
        <is>
          <t>Open order detail and list refresh within ten seconds</t>
        </is>
      </c>
      <c r="E69" s="4" t="inlineStr">
        <is>
          <t>Verify, without assuming a pass result, that the release candidate correctly enforces: Open order detail and list refresh within ten seconds.</t>
        </is>
      </c>
      <c r="F69" s="4" t="inlineStr">
        <is>
          <t>Positive</t>
        </is>
      </c>
      <c r="G69" s="4" t="inlineStr">
        <is>
          <t>High</t>
        </is>
      </c>
      <c r="H69" s="4" t="inlineStr">
        <is>
          <t>High</t>
        </is>
      </c>
      <c r="I69" s="4" t="inlineStr">
        <is>
          <t>Synthetic menu, category, waiter, chef and available table exist in Branch A; starting state is recorded.</t>
        </is>
      </c>
      <c r="J69" s="4" t="inlineStr">
        <is>
          <t>Use only named synthetic records from the Test Data Plan; capture generated IDs and baseline values in evidence. Never use real credentials, customer PII or secrets.</t>
        </is>
      </c>
      <c r="K69" s="4" t="inlineStr">
        <is>
          <t>Waiter / Coordinator</t>
        </is>
      </c>
      <c r="L69" s="4" t="inlineStr">
        <is>
          <t>Restaurant A / Branch A1 unless the case explicitly tests another scope</t>
        </is>
      </c>
      <c r="M69" s="4" t="inlineStr">
        <is>
          <t>1. Sign in as Waiter / Coordinator, or remain anonymous when the case requires it.
2. Record relevant UI, API and database baseline identifiers, statuses, counts and balances.
3. Use the documented page/API to verify that open order detail and list refresh within ten seconds.
4. Refresh or repeat through an independent client where concurrency, polling or idempotency applies.
5. Compare the outcome, scope, audit fields and side effects with the expected result; capture evidence.</t>
        </is>
      </c>
      <c r="N69" s="4" t="inlineStr">
        <is>
          <t>The release candidate demonstrates the specified behavior exactly and only within the actor's authorized scope: Open order detail and list refresh within ten seconds. No unrelated record changes.</t>
        </is>
      </c>
      <c r="O69" s="4" t="inlineStr">
        <is>
          <t>Reverse only synthetic changes through supported UI/API, or restore the approved isolated snapshot; confirm no residual locks, sessions, occupied tables or stock deltas.</t>
        </is>
      </c>
      <c r="P69" s="4" t="inlineStr">
        <is>
          <t>Yes</t>
        </is>
      </c>
      <c r="Q69" s="4" t="inlineStr">
        <is>
          <t>Timestamped screenshots for UI; request/response with secrets redacted for API; query IDs/counts/balances for transactions; export/build artifact or monitoring trace where applicable.</t>
        </is>
      </c>
      <c r="R69" s="4" t="inlineStr">
        <is>
          <t>Planned / Not Yet Executed</t>
        </is>
      </c>
      <c r="S69" s="4" t="inlineStr"/>
      <c r="T69" s="4" t="inlineStr"/>
      <c r="U69" s="4" t="inlineStr"/>
      <c r="V69" s="4" t="inlineStr"/>
      <c r="W69" s="4" t="inlineStr"/>
      <c r="X69" s="4" t="inlineStr"/>
    </row>
    <row r="70" ht="72" customHeight="1">
      <c r="A70" s="4" t="inlineStr">
        <is>
          <t>KIT-001</t>
        </is>
      </c>
      <c r="B70" s="4" t="inlineStr">
        <is>
          <t>Coordinator &amp; Kitchen</t>
        </is>
      </c>
      <c r="C70" s="4" t="inlineStr">
        <is>
          <t>FR-O03, FR-K01, FR-K02, FR-K03, FR-K04</t>
        </is>
      </c>
      <c r="D70" s="4" t="inlineStr">
        <is>
          <t>Coordinator confirms pending order and assigns an in-scope chef</t>
        </is>
      </c>
      <c r="E70" s="4" t="inlineStr">
        <is>
          <t>Verify, without assuming a pass result, that the release candidate correctly enforces: Coordinator confirms pending order and assigns an in-scope chef.</t>
        </is>
      </c>
      <c r="F70" s="4" t="inlineStr">
        <is>
          <t>Authorization</t>
        </is>
      </c>
      <c r="G70" s="4" t="inlineStr">
        <is>
          <t>High</t>
        </is>
      </c>
      <c r="H70" s="4" t="inlineStr">
        <is>
          <t>High</t>
        </is>
      </c>
      <c r="I70" s="4" t="inlineStr">
        <is>
          <t>Known pending/confirmed orders and in-scope/out-of-scope chefs exist.</t>
        </is>
      </c>
      <c r="J70" s="4" t="inlineStr">
        <is>
          <t>Use only named synthetic records from the Test Data Plan; capture generated IDs and baseline values in evidence. Never use real credentials, customer PII or secrets.</t>
        </is>
      </c>
      <c r="K70" s="4" t="inlineStr">
        <is>
          <t>Coordinator / Chef / Waiter</t>
        </is>
      </c>
      <c r="L70" s="4" t="inlineStr">
        <is>
          <t>Restaurant A / Branch A1 unless the case explicitly tests another scope</t>
        </is>
      </c>
      <c r="M70" s="4" t="inlineStr">
        <is>
          <t>1. Sign in as Coordinator / Chef / Waiter, or remain anonymous when the case requires it.
2. Record relevant UI, API and database baseline identifiers, statuses, counts and balances.
3. Use the documented page/API to verify that coordinator confirms pending order and assigns an in-scope chef.
4. Refresh or repeat through an independent client where concurrency, polling or idempotency applies.
5. Compare the outcome, scope, audit fields and side effects with the expected result; capture evidence.</t>
        </is>
      </c>
      <c r="N70" s="4" t="inlineStr">
        <is>
          <t>The release candidate demonstrates the specified behavior exactly and only within the actor's authorized scope: Coordinator confirms pending order and assigns an in-scope chef. No unrelated record changes.</t>
        </is>
      </c>
      <c r="O70" s="4" t="inlineStr">
        <is>
          <t>Reverse only synthetic changes through supported UI/API, or restore the approved isolated snapshot; confirm no residual locks, sessions, occupied tables or stock deltas.</t>
        </is>
      </c>
      <c r="P70" s="4" t="inlineStr">
        <is>
          <t>Yes</t>
        </is>
      </c>
      <c r="Q70" s="4" t="inlineStr">
        <is>
          <t>Timestamped screenshots for UI; request/response with secrets redacted for API; query IDs/counts/balances for transactions; export/build artifact or monitoring trace where applicable.</t>
        </is>
      </c>
      <c r="R70" s="4" t="inlineStr">
        <is>
          <t>Planned / Not Yet Executed</t>
        </is>
      </c>
      <c r="S70" s="4" t="inlineStr"/>
      <c r="T70" s="4" t="inlineStr"/>
      <c r="U70" s="4" t="inlineStr"/>
      <c r="V70" s="4" t="inlineStr"/>
      <c r="W70" s="4" t="inlineStr"/>
      <c r="X70" s="4" t="inlineStr"/>
    </row>
    <row r="71" ht="72" customHeight="1">
      <c r="A71" s="4" t="inlineStr">
        <is>
          <t>KIT-002</t>
        </is>
      </c>
      <c r="B71" s="4" t="inlineStr">
        <is>
          <t>Coordinator &amp; Kitchen</t>
        </is>
      </c>
      <c r="C71" s="4" t="inlineStr">
        <is>
          <t>FR-O03, FR-K01, FR-K02, FR-K03, FR-K04</t>
        </is>
      </c>
      <c r="D71" s="4" t="inlineStr">
        <is>
          <t>Coordinator cannot confirm a non-pending order</t>
        </is>
      </c>
      <c r="E71" s="4" t="inlineStr">
        <is>
          <t>Verify, without assuming a pass result, that the release candidate correctly enforces: Coordinator cannot confirm a non-pending order.</t>
        </is>
      </c>
      <c r="F71" s="4" t="inlineStr">
        <is>
          <t>Negative</t>
        </is>
      </c>
      <c r="G71" s="4" t="inlineStr">
        <is>
          <t>High</t>
        </is>
      </c>
      <c r="H71" s="4" t="inlineStr">
        <is>
          <t>High</t>
        </is>
      </c>
      <c r="I71" s="4" t="inlineStr">
        <is>
          <t>Known pending/confirmed orders and in-scope/out-of-scope chefs exist.</t>
        </is>
      </c>
      <c r="J71" s="4" t="inlineStr">
        <is>
          <t>Use only named synthetic records from the Test Data Plan; capture generated IDs and baseline values in evidence. Never use real credentials, customer PII or secrets.</t>
        </is>
      </c>
      <c r="K71" s="4" t="inlineStr">
        <is>
          <t>Coordinator / Chef / Waiter</t>
        </is>
      </c>
      <c r="L71" s="4" t="inlineStr">
        <is>
          <t>Restaurant A / Branch A1 unless the case explicitly tests another scope</t>
        </is>
      </c>
      <c r="M71" s="4" t="inlineStr">
        <is>
          <t>1. Sign in as Coordinator / Chef / Waiter, or remain anonymous when the case requires it.
2. Record relevant UI, API and database baseline identifiers, statuses, counts and balances.
3. Use the documented page/API to verify that coordinator cannot confirm a non-pending order.
4. Refresh or repeat through an independent client where concurrency, polling or idempotency applies.
5. Compare the outcome, scope, audit fields and side effects with the expected result; capture evidence.</t>
        </is>
      </c>
      <c r="N71" s="4" t="inlineStr">
        <is>
          <t>The operation is refused with a stable, safe error; no unauthorized or partial mutation occurs. Specifically: Coordinator cannot confirm a non-pending order.</t>
        </is>
      </c>
      <c r="O71" s="4" t="inlineStr">
        <is>
          <t>Reverse only synthetic changes through supported UI/API, or restore the approved isolated snapshot; confirm no residual locks, sessions, occupied tables or stock deltas.</t>
        </is>
      </c>
      <c r="P71" s="4" t="inlineStr">
        <is>
          <t>Yes</t>
        </is>
      </c>
      <c r="Q71" s="4" t="inlineStr">
        <is>
          <t>Timestamped screenshots for UI; request/response with secrets redacted for API; query IDs/counts/balances for transactions; export/build artifact or monitoring trace where applicable.</t>
        </is>
      </c>
      <c r="R71" s="4" t="inlineStr">
        <is>
          <t>Planned / Not Yet Executed</t>
        </is>
      </c>
      <c r="S71" s="4" t="inlineStr"/>
      <c r="T71" s="4" t="inlineStr"/>
      <c r="U71" s="4" t="inlineStr"/>
      <c r="V71" s="4" t="inlineStr"/>
      <c r="W71" s="4" t="inlineStr"/>
      <c r="X71" s="4" t="inlineStr"/>
    </row>
    <row r="72" ht="72" customHeight="1">
      <c r="A72" s="4" t="inlineStr">
        <is>
          <t>KIT-003</t>
        </is>
      </c>
      <c r="B72" s="4" t="inlineStr">
        <is>
          <t>Coordinator &amp; Kitchen</t>
        </is>
      </c>
      <c r="C72" s="4" t="inlineStr">
        <is>
          <t>FR-O03, FR-K01, FR-K02, FR-K03, FR-K04</t>
        </is>
      </c>
      <c r="D72" s="4" t="inlineStr">
        <is>
          <t>Cross-branch chef assignment is rejected</t>
        </is>
      </c>
      <c r="E72" s="4" t="inlineStr">
        <is>
          <t>Verify, without assuming a pass result, that the release candidate correctly enforces: Cross-branch chef assignment is rejected.</t>
        </is>
      </c>
      <c r="F72" s="4" t="inlineStr">
        <is>
          <t>Negative</t>
        </is>
      </c>
      <c r="G72" s="4" t="inlineStr">
        <is>
          <t>Medium</t>
        </is>
      </c>
      <c r="H72" s="4" t="inlineStr">
        <is>
          <t>Medium</t>
        </is>
      </c>
      <c r="I72" s="4" t="inlineStr">
        <is>
          <t>Known pending/confirmed orders and in-scope/out-of-scope chefs exist.</t>
        </is>
      </c>
      <c r="J72" s="4" t="inlineStr">
        <is>
          <t>Use only named synthetic records from the Test Data Plan; capture generated IDs and baseline values in evidence. Never use real credentials, customer PII or secrets.</t>
        </is>
      </c>
      <c r="K72" s="4" t="inlineStr">
        <is>
          <t>Coordinator / Chef / Waiter</t>
        </is>
      </c>
      <c r="L72" s="4" t="inlineStr">
        <is>
          <t>Restaurant A / Branch A1 unless the case explicitly tests another scope</t>
        </is>
      </c>
      <c r="M72" s="4" t="inlineStr">
        <is>
          <t>1. Sign in as Coordinator / Chef / Waiter, or remain anonymous when the case requires it.
2. Record relevant UI, API and database baseline identifiers, statuses, counts and balances.
3. Use the documented page/API to verify that cross-branch chef assignment is rejected.
4. Refresh or repeat through an independent client where concurrency, polling or idempotency applies.
5. Compare the outcome, scope, audit fields and side effects with the expected result; capture evidence.</t>
        </is>
      </c>
      <c r="N72" s="4" t="inlineStr">
        <is>
          <t>The operation is refused with a stable, safe error; no unauthorized or partial mutation occurs. Specifically: Cross-branch chef assignment is rejected.</t>
        </is>
      </c>
      <c r="O72" s="4" t="inlineStr">
        <is>
          <t>Reverse only synthetic changes through supported UI/API, or restore the approved isolated snapshot; confirm no residual locks, sessions, occupied tables or stock deltas.</t>
        </is>
      </c>
      <c r="P72" s="4" t="inlineStr">
        <is>
          <t>Yes</t>
        </is>
      </c>
      <c r="Q72" s="4" t="inlineStr">
        <is>
          <t>Timestamped screenshots for UI; request/response with secrets redacted for API; query IDs/counts/balances for transactions; export/build artifact or monitoring trace where applicable.</t>
        </is>
      </c>
      <c r="R72" s="4" t="inlineStr">
        <is>
          <t>Planned / Not Yet Executed</t>
        </is>
      </c>
      <c r="S72" s="4" t="inlineStr"/>
      <c r="T72" s="4" t="inlineStr"/>
      <c r="U72" s="4" t="inlineStr"/>
      <c r="V72" s="4" t="inlineStr"/>
      <c r="W72" s="4" t="inlineStr"/>
      <c r="X72" s="4" t="inlineStr"/>
    </row>
    <row r="73" ht="72" customHeight="1">
      <c r="A73" s="4" t="inlineStr">
        <is>
          <t>KIT-004</t>
        </is>
      </c>
      <c r="B73" s="4" t="inlineStr">
        <is>
          <t>Coordinator &amp; Kitchen</t>
        </is>
      </c>
      <c r="C73" s="4" t="inlineStr">
        <is>
          <t>FR-O03, FR-K01, FR-K02, FR-K03, FR-K04</t>
        </is>
      </c>
      <c r="D73" s="4" t="inlineStr">
        <is>
          <t>Chef sees confirmed orders in the correct chef tab</t>
        </is>
      </c>
      <c r="E73" s="4" t="inlineStr">
        <is>
          <t>Verify, without assuming a pass result, that the release candidate correctly enforces: Chef sees confirmed orders in the correct chef tab.</t>
        </is>
      </c>
      <c r="F73" s="4" t="inlineStr">
        <is>
          <t>Positive</t>
        </is>
      </c>
      <c r="G73" s="4" t="inlineStr">
        <is>
          <t>High</t>
        </is>
      </c>
      <c r="H73" s="4" t="inlineStr">
        <is>
          <t>High</t>
        </is>
      </c>
      <c r="I73" s="4" t="inlineStr">
        <is>
          <t>Known pending/confirmed orders and in-scope/out-of-scope chefs exist.</t>
        </is>
      </c>
      <c r="J73" s="4" t="inlineStr">
        <is>
          <t>Use only named synthetic records from the Test Data Plan; capture generated IDs and baseline values in evidence. Never use real credentials, customer PII or secrets.</t>
        </is>
      </c>
      <c r="K73" s="4" t="inlineStr">
        <is>
          <t>Coordinator / Chef / Waiter</t>
        </is>
      </c>
      <c r="L73" s="4" t="inlineStr">
        <is>
          <t>Restaurant A / Branch A1 unless the case explicitly tests another scope</t>
        </is>
      </c>
      <c r="M73" s="4" t="inlineStr">
        <is>
          <t>1. Sign in as Coordinator / Chef / Waiter, or remain anonymous when the case requires it.
2. Record relevant UI, API and database baseline identifiers, statuses, counts and balances.
3. Use the documented page/API to verify that chef sees confirmed orders in the correct chef tab.
4. Refresh or repeat through an independent client where concurrency, polling or idempotency applies.
5. Compare the outcome, scope, audit fields and side effects with the expected result; capture evidence.</t>
        </is>
      </c>
      <c r="N73" s="4" t="inlineStr">
        <is>
          <t>The release candidate demonstrates the specified behavior exactly and only within the actor's authorized scope: Chef sees confirmed orders in the correct chef tab. No unrelated record changes.</t>
        </is>
      </c>
      <c r="O73" s="4" t="inlineStr">
        <is>
          <t>Reverse only synthetic changes through supported UI/API, or restore the approved isolated snapshot; confirm no residual locks, sessions, occupied tables or stock deltas.</t>
        </is>
      </c>
      <c r="P73" s="4" t="inlineStr">
        <is>
          <t>Yes</t>
        </is>
      </c>
      <c r="Q73" s="4" t="inlineStr">
        <is>
          <t>Timestamped screenshots for UI; request/response with secrets redacted for API; query IDs/counts/balances for transactions; export/build artifact or monitoring trace where applicable.</t>
        </is>
      </c>
      <c r="R73" s="4" t="inlineStr">
        <is>
          <t>Planned / Not Yet Executed</t>
        </is>
      </c>
      <c r="S73" s="4" t="inlineStr"/>
      <c r="T73" s="4" t="inlineStr"/>
      <c r="U73" s="4" t="inlineStr"/>
      <c r="V73" s="4" t="inlineStr"/>
      <c r="W73" s="4" t="inlineStr"/>
      <c r="X73" s="4" t="inlineStr"/>
    </row>
    <row r="74" ht="72" customHeight="1">
      <c r="A74" s="4" t="inlineStr">
        <is>
          <t>KIT-005</t>
        </is>
      </c>
      <c r="B74" s="4" t="inlineStr">
        <is>
          <t>Coordinator &amp; Kitchen</t>
        </is>
      </c>
      <c r="C74" s="4" t="inlineStr">
        <is>
          <t>FR-O03, FR-K01, FR-K02, FR-K03, FR-K04</t>
        </is>
      </c>
      <c r="D74" s="4" t="inlineStr">
        <is>
          <t>Chef accepts starts preparing and marks order ready</t>
        </is>
      </c>
      <c r="E74" s="4" t="inlineStr">
        <is>
          <t>Verify, without assuming a pass result, that the release candidate correctly enforces: Chef accepts starts preparing and marks order ready.</t>
        </is>
      </c>
      <c r="F74" s="4" t="inlineStr">
        <is>
          <t>Positive</t>
        </is>
      </c>
      <c r="G74" s="4" t="inlineStr">
        <is>
          <t>High</t>
        </is>
      </c>
      <c r="H74" s="4" t="inlineStr">
        <is>
          <t>High</t>
        </is>
      </c>
      <c r="I74" s="4" t="inlineStr">
        <is>
          <t>Known pending/confirmed orders and in-scope/out-of-scope chefs exist.</t>
        </is>
      </c>
      <c r="J74" s="4" t="inlineStr">
        <is>
          <t>Use only named synthetic records from the Test Data Plan; capture generated IDs and baseline values in evidence. Never use real credentials, customer PII or secrets.</t>
        </is>
      </c>
      <c r="K74" s="4" t="inlineStr">
        <is>
          <t>Coordinator / Chef / Waiter</t>
        </is>
      </c>
      <c r="L74" s="4" t="inlineStr">
        <is>
          <t>Restaurant A / Branch A1 unless the case explicitly tests another scope</t>
        </is>
      </c>
      <c r="M74" s="4" t="inlineStr">
        <is>
          <t>1. Sign in as Coordinator / Chef / Waiter, or remain anonymous when the case requires it.
2. Record relevant UI, API and database baseline identifiers, statuses, counts and balances.
3. Use the documented page/API to verify that chef accepts starts preparing and marks order ready.
4. Refresh or repeat through an independent client where concurrency, polling or idempotency applies.
5. Compare the outcome, scope, audit fields and side effects with the expected result; capture evidence.</t>
        </is>
      </c>
      <c r="N74" s="4" t="inlineStr">
        <is>
          <t>The release candidate demonstrates the specified behavior exactly and only within the actor's authorized scope: Chef accepts starts preparing and marks order ready. No unrelated record changes.</t>
        </is>
      </c>
      <c r="O74" s="4" t="inlineStr">
        <is>
          <t>Reverse only synthetic changes through supported UI/API, or restore the approved isolated snapshot; confirm no residual locks, sessions, occupied tables or stock deltas.</t>
        </is>
      </c>
      <c r="P74" s="4" t="inlineStr">
        <is>
          <t>Yes</t>
        </is>
      </c>
      <c r="Q74" s="4" t="inlineStr">
        <is>
          <t>Timestamped screenshots for UI; request/response with secrets redacted for API; query IDs/counts/balances for transactions; export/build artifact or monitoring trace where applicable.</t>
        </is>
      </c>
      <c r="R74" s="4" t="inlineStr">
        <is>
          <t>Planned / Not Yet Executed</t>
        </is>
      </c>
      <c r="S74" s="4" t="inlineStr"/>
      <c r="T74" s="4" t="inlineStr"/>
      <c r="U74" s="4" t="inlineStr"/>
      <c r="V74" s="4" t="inlineStr"/>
      <c r="W74" s="4" t="inlineStr"/>
      <c r="X74" s="4" t="inlineStr"/>
    </row>
    <row r="75" ht="72" customHeight="1">
      <c r="A75" s="4" t="inlineStr">
        <is>
          <t>KIT-006</t>
        </is>
      </c>
      <c r="B75" s="4" t="inlineStr">
        <is>
          <t>Coordinator &amp; Kitchen</t>
        </is>
      </c>
      <c r="C75" s="4" t="inlineStr">
        <is>
          <t>FR-O03, FR-K01, FR-K02, FR-K03, FR-K04</t>
        </is>
      </c>
      <c r="D75" s="4" t="inlineStr">
        <is>
          <t>Chef cannot update another chef's assigned order</t>
        </is>
      </c>
      <c r="E75" s="4" t="inlineStr">
        <is>
          <t>Verify, without assuming a pass result, that the release candidate correctly enforces: Chef cannot update another chef's assigned order.</t>
        </is>
      </c>
      <c r="F75" s="4" t="inlineStr">
        <is>
          <t>Negative</t>
        </is>
      </c>
      <c r="G75" s="4" t="inlineStr">
        <is>
          <t>High</t>
        </is>
      </c>
      <c r="H75" s="4" t="inlineStr">
        <is>
          <t>High</t>
        </is>
      </c>
      <c r="I75" s="4" t="inlineStr">
        <is>
          <t>Known pending/confirmed orders and in-scope/out-of-scope chefs exist.</t>
        </is>
      </c>
      <c r="J75" s="4" t="inlineStr">
        <is>
          <t>Use only named synthetic records from the Test Data Plan; capture generated IDs and baseline values in evidence. Never use real credentials, customer PII or secrets.</t>
        </is>
      </c>
      <c r="K75" s="4" t="inlineStr">
        <is>
          <t>Coordinator / Chef / Waiter</t>
        </is>
      </c>
      <c r="L75" s="4" t="inlineStr">
        <is>
          <t>Restaurant A / Branch A1 unless the case explicitly tests another scope</t>
        </is>
      </c>
      <c r="M75" s="4" t="inlineStr">
        <is>
          <t>1. Sign in as Coordinator / Chef / Waiter, or remain anonymous when the case requires it.
2. Record relevant UI, API and database baseline identifiers, statuses, counts and balances.
3. Use the documented page/API to verify that chef cannot update another chef's assigned order.
4. Refresh or repeat through an independent client where concurrency, polling or idempotency applies.
5. Compare the outcome, scope, audit fields and side effects with the expected result; capture evidence.</t>
        </is>
      </c>
      <c r="N75" s="4" t="inlineStr">
        <is>
          <t>The operation is refused with a stable, safe error; no unauthorized or partial mutation occurs. Specifically: Chef cannot update another chef's assigned order.</t>
        </is>
      </c>
      <c r="O75" s="4" t="inlineStr">
        <is>
          <t>Reverse only synthetic changes through supported UI/API, or restore the approved isolated snapshot; confirm no residual locks, sessions, occupied tables or stock deltas.</t>
        </is>
      </c>
      <c r="P75" s="4" t="inlineStr">
        <is>
          <t>Yes</t>
        </is>
      </c>
      <c r="Q75" s="4" t="inlineStr">
        <is>
          <t>Timestamped screenshots for UI; request/response with secrets redacted for API; query IDs/counts/balances for transactions; export/build artifact or monitoring trace where applicable.</t>
        </is>
      </c>
      <c r="R75" s="4" t="inlineStr">
        <is>
          <t>Planned / Not Yet Executed</t>
        </is>
      </c>
      <c r="S75" s="4" t="inlineStr"/>
      <c r="T75" s="4" t="inlineStr"/>
      <c r="U75" s="4" t="inlineStr"/>
      <c r="V75" s="4" t="inlineStr"/>
      <c r="W75" s="4" t="inlineStr"/>
      <c r="X75" s="4" t="inlineStr"/>
    </row>
    <row r="76" ht="72" customHeight="1">
      <c r="A76" s="4" t="inlineStr">
        <is>
          <t>KIT-007</t>
        </is>
      </c>
      <c r="B76" s="4" t="inlineStr">
        <is>
          <t>Coordinator &amp; Kitchen</t>
        </is>
      </c>
      <c r="C76" s="4" t="inlineStr">
        <is>
          <t>FR-O03, FR-K01, FR-K02, FR-K03, FR-K04</t>
        </is>
      </c>
      <c r="D76" s="4" t="inlineStr">
        <is>
          <t>Progress board maps active statuses into four defined columns</t>
        </is>
      </c>
      <c r="E76" s="4" t="inlineStr">
        <is>
          <t>Verify, without assuming a pass result, that the release candidate correctly enforces: Progress board maps active statuses into four defined columns.</t>
        </is>
      </c>
      <c r="F76" s="4" t="inlineStr">
        <is>
          <t>Positive</t>
        </is>
      </c>
      <c r="G76" s="4" t="inlineStr">
        <is>
          <t>Medium</t>
        </is>
      </c>
      <c r="H76" s="4" t="inlineStr">
        <is>
          <t>Medium</t>
        </is>
      </c>
      <c r="I76" s="4" t="inlineStr">
        <is>
          <t>Known pending/confirmed orders and in-scope/out-of-scope chefs exist.</t>
        </is>
      </c>
      <c r="J76" s="4" t="inlineStr">
        <is>
          <t>Use only named synthetic records from the Test Data Plan; capture generated IDs and baseline values in evidence. Never use real credentials, customer PII or secrets.</t>
        </is>
      </c>
      <c r="K76" s="4" t="inlineStr">
        <is>
          <t>Coordinator / Chef / Waiter</t>
        </is>
      </c>
      <c r="L76" s="4" t="inlineStr">
        <is>
          <t>Restaurant A / Branch A1 unless the case explicitly tests another scope</t>
        </is>
      </c>
      <c r="M76" s="4" t="inlineStr">
        <is>
          <t>1. Sign in as Coordinator / Chef / Waiter, or remain anonymous when the case requires it.
2. Record relevant UI, API and database baseline identifiers, statuses, counts and balances.
3. Use the documented page/API to verify that progress board maps active statuses into four defined columns.
4. Refresh or repeat through an independent client where concurrency, polling or idempotency applies.
5. Compare the outcome, scope, audit fields and side effects with the expected result; capture evidence.</t>
        </is>
      </c>
      <c r="N76" s="4" t="inlineStr">
        <is>
          <t>The release candidate demonstrates the specified behavior exactly and only within the actor's authorized scope: Progress board maps active statuses into four defined columns. No unrelated record changes.</t>
        </is>
      </c>
      <c r="O76" s="4" t="inlineStr">
        <is>
          <t>Reverse only synthetic changes through supported UI/API, or restore the approved isolated snapshot; confirm no residual locks, sessions, occupied tables or stock deltas.</t>
        </is>
      </c>
      <c r="P76" s="4" t="inlineStr">
        <is>
          <t>Yes</t>
        </is>
      </c>
      <c r="Q76" s="4" t="inlineStr">
        <is>
          <t>Timestamped screenshots for UI; request/response with secrets redacted for API; query IDs/counts/balances for transactions; export/build artifact or monitoring trace where applicable.</t>
        </is>
      </c>
      <c r="R76" s="4" t="inlineStr">
        <is>
          <t>Planned / Not Yet Executed</t>
        </is>
      </c>
      <c r="S76" s="4" t="inlineStr"/>
      <c r="T76" s="4" t="inlineStr"/>
      <c r="U76" s="4" t="inlineStr"/>
      <c r="V76" s="4" t="inlineStr"/>
      <c r="W76" s="4" t="inlineStr"/>
      <c r="X76" s="4" t="inlineStr"/>
    </row>
    <row r="77" ht="72" customHeight="1">
      <c r="A77" s="4" t="inlineStr">
        <is>
          <t>KIT-008</t>
        </is>
      </c>
      <c r="B77" s="4" t="inlineStr">
        <is>
          <t>Coordinator &amp; Kitchen</t>
        </is>
      </c>
      <c r="C77" s="4" t="inlineStr">
        <is>
          <t>FR-O03, FR-K01, FR-K02, FR-K03, FR-K04</t>
        </is>
      </c>
      <c r="D77" s="4" t="inlineStr">
        <is>
          <t>Order waiting over twenty minutes receives a visible warning</t>
        </is>
      </c>
      <c r="E77" s="4" t="inlineStr">
        <is>
          <t>Verify, without assuming a pass result, that the release candidate correctly enforces: Order waiting over twenty minutes receives a visible warning.</t>
        </is>
      </c>
      <c r="F77" s="4" t="inlineStr">
        <is>
          <t>Boundary</t>
        </is>
      </c>
      <c r="G77" s="4" t="inlineStr">
        <is>
          <t>High</t>
        </is>
      </c>
      <c r="H77" s="4" t="inlineStr">
        <is>
          <t>High</t>
        </is>
      </c>
      <c r="I77" s="4" t="inlineStr">
        <is>
          <t>Known pending/confirmed orders and in-scope/out-of-scope chefs exist.</t>
        </is>
      </c>
      <c r="J77" s="4" t="inlineStr">
        <is>
          <t>Use only named synthetic records from the Test Data Plan; capture generated IDs and baseline values in evidence. Never use real credentials, customer PII or secrets.</t>
        </is>
      </c>
      <c r="K77" s="4" t="inlineStr">
        <is>
          <t>Coordinator / Chef / Waiter</t>
        </is>
      </c>
      <c r="L77" s="4" t="inlineStr">
        <is>
          <t>Restaurant A / Branch A1 unless the case explicitly tests another scope</t>
        </is>
      </c>
      <c r="M77" s="4" t="inlineStr">
        <is>
          <t>1. Sign in as Coordinator / Chef / Waiter, or remain anonymous when the case requires it.
2. Record relevant UI, API and database baseline identifiers, statuses, counts and balances.
3. Use the documented page/API to verify that order waiting over twenty minutes receives a visible warning.
4. Refresh or repeat through an independent client where concurrency, polling or idempotency applies.
5. Compare the outcome, scope, audit fields and side effects with the expected result; capture evidence.</t>
        </is>
      </c>
      <c r="N77" s="4" t="inlineStr">
        <is>
          <t>The release candidate demonstrates the specified behavior exactly and only within the actor's authorized scope: Order waiting over twenty minutes receives a visible warning. No unrelated record changes.</t>
        </is>
      </c>
      <c r="O77" s="4" t="inlineStr">
        <is>
          <t>Reverse only synthetic changes through supported UI/API, or restore the approved isolated snapshot; confirm no residual locks, sessions, occupied tables or stock deltas.</t>
        </is>
      </c>
      <c r="P77" s="4" t="inlineStr">
        <is>
          <t>Yes</t>
        </is>
      </c>
      <c r="Q77" s="4" t="inlineStr">
        <is>
          <t>Timestamped screenshots for UI; request/response with secrets redacted for API; query IDs/counts/balances for transactions; export/build artifact or monitoring trace where applicable.</t>
        </is>
      </c>
      <c r="R77" s="4" t="inlineStr">
        <is>
          <t>Planned / Not Yet Executed</t>
        </is>
      </c>
      <c r="S77" s="4" t="inlineStr"/>
      <c r="T77" s="4" t="inlineStr"/>
      <c r="U77" s="4" t="inlineStr"/>
      <c r="V77" s="4" t="inlineStr"/>
      <c r="W77" s="4" t="inlineStr"/>
      <c r="X77" s="4" t="inlineStr"/>
    </row>
    <row r="78" ht="72" customHeight="1">
      <c r="A78" s="4" t="inlineStr">
        <is>
          <t>PAY-001</t>
        </is>
      </c>
      <c r="B78" s="4" t="inlineStr">
        <is>
          <t>Payments &amp; Shifts</t>
        </is>
      </c>
      <c r="C78" s="4" t="inlineStr">
        <is>
          <t>FR-P01, FR-P02, FR-P03</t>
        </is>
      </c>
      <c r="D78" s="4" t="inlineStr">
        <is>
          <t>Cashier opens and closes an authorized shift</t>
        </is>
      </c>
      <c r="E78" s="4" t="inlineStr">
        <is>
          <t>Verify, without assuming a pass result, that the release candidate correctly enforces: Cashier opens and closes an authorized shift.</t>
        </is>
      </c>
      <c r="F78" s="4" t="inlineStr">
        <is>
          <t>Positive</t>
        </is>
      </c>
      <c r="G78" s="4" t="inlineStr">
        <is>
          <t>Medium</t>
        </is>
      </c>
      <c r="H78" s="4" t="inlineStr">
        <is>
          <t>Medium</t>
        </is>
      </c>
      <c r="I78" s="4" t="inlineStr">
        <is>
          <t>Known served order and cashier exist; table and payment baselines are recorded.</t>
        </is>
      </c>
      <c r="J78" s="4" t="inlineStr">
        <is>
          <t>Use only named synthetic records from the Test Data Plan; capture generated IDs and baseline values in evidence. Never use real credentials, customer PII or secrets.</t>
        </is>
      </c>
      <c r="K78" s="4" t="inlineStr">
        <is>
          <t>Cashier</t>
        </is>
      </c>
      <c r="L78" s="4" t="inlineStr">
        <is>
          <t>Restaurant A / Branch A1 unless the case explicitly tests another scope</t>
        </is>
      </c>
      <c r="M78" s="4" t="inlineStr">
        <is>
          <t>1. Sign in as Cashier, or remain anonymous when the case requires it.
2. Record relevant UI, API and database baseline identifiers, statuses, counts and balances.
3. Use the documented page/API to verify that cashier opens and closes an authorized shift.
4. Refresh or repeat through an independent client where concurrency, polling or idempotency applies.
5. Compare the outcome, scope, audit fields and side effects with the expected result; capture evidence.</t>
        </is>
      </c>
      <c r="N78" s="4" t="inlineStr">
        <is>
          <t>The release candidate demonstrates the specified behavior exactly and only within the actor's authorized scope: Cashier opens and closes an authorized shift. No unrelated record changes.</t>
        </is>
      </c>
      <c r="O78" s="4" t="inlineStr">
        <is>
          <t>Reverse only synthetic changes through supported UI/API, or restore the approved isolated snapshot; confirm no residual locks, sessions, occupied tables or stock deltas.</t>
        </is>
      </c>
      <c r="P78" s="4" t="inlineStr">
        <is>
          <t>Yes</t>
        </is>
      </c>
      <c r="Q78" s="4" t="inlineStr">
        <is>
          <t>Timestamped screenshots for UI; request/response with secrets redacted for API; query IDs/counts/balances for transactions; export/build artifact or monitoring trace where applicable.</t>
        </is>
      </c>
      <c r="R78" s="4" t="inlineStr">
        <is>
          <t>Planned / Not Yet Executed</t>
        </is>
      </c>
      <c r="S78" s="4" t="inlineStr"/>
      <c r="T78" s="4" t="inlineStr"/>
      <c r="U78" s="4" t="inlineStr"/>
      <c r="V78" s="4" t="inlineStr"/>
      <c r="W78" s="4" t="inlineStr"/>
      <c r="X78" s="4" t="inlineStr"/>
    </row>
    <row r="79" ht="72" customHeight="1">
      <c r="A79" s="4" t="inlineStr">
        <is>
          <t>PAY-002</t>
        </is>
      </c>
      <c r="B79" s="4" t="inlineStr">
        <is>
          <t>Payments &amp; Shifts</t>
        </is>
      </c>
      <c r="C79" s="4" t="inlineStr">
        <is>
          <t>FR-P01, FR-P02, FR-P03</t>
        </is>
      </c>
      <c r="D79" s="4" t="inlineStr">
        <is>
          <t>Payment outside an open required shift is rejected</t>
        </is>
      </c>
      <c r="E79" s="4" t="inlineStr">
        <is>
          <t>Verify, without assuming a pass result, that the release candidate correctly enforces: Payment outside an open required shift is rejected.</t>
        </is>
      </c>
      <c r="F79" s="4" t="inlineStr">
        <is>
          <t>Negative</t>
        </is>
      </c>
      <c r="G79" s="4" t="inlineStr">
        <is>
          <t>Critical</t>
        </is>
      </c>
      <c r="H79" s="4" t="inlineStr">
        <is>
          <t>Critical</t>
        </is>
      </c>
      <c r="I79" s="4" t="inlineStr">
        <is>
          <t>Known served order and cashier exist; table and payment baselines are recorded.</t>
        </is>
      </c>
      <c r="J79" s="4" t="inlineStr">
        <is>
          <t>Use only named synthetic records from the Test Data Plan; capture generated IDs and baseline values in evidence. Never use real credentials, customer PII or secrets.</t>
        </is>
      </c>
      <c r="K79" s="4" t="inlineStr">
        <is>
          <t>Cashier</t>
        </is>
      </c>
      <c r="L79" s="4" t="inlineStr">
        <is>
          <t>Restaurant A / Branch A1 unless the case explicitly tests another scope</t>
        </is>
      </c>
      <c r="M79" s="4" t="inlineStr">
        <is>
          <t>1. Sign in as Cashier, or remain anonymous when the case requires it.
2. Record relevant UI, API and database baseline identifiers, statuses, counts and balances.
3. Use the documented page/API to verify that payment outside an open required shift is rejected.
4. Refresh or repeat through an independent client where concurrency, polling or idempotency applies.
5. Compare the outcome, scope, audit fields and side effects with the expected result; capture evidence.</t>
        </is>
      </c>
      <c r="N79" s="4" t="inlineStr">
        <is>
          <t>The operation is refused with a stable, safe error; no unauthorized or partial mutation occurs. Specifically: Payment outside an open required shift is rejected.</t>
        </is>
      </c>
      <c r="O79" s="4" t="inlineStr">
        <is>
          <t>Reverse only synthetic changes through supported UI/API, or restore the approved isolated snapshot; confirm no residual locks, sessions, occupied tables or stock deltas.</t>
        </is>
      </c>
      <c r="P79" s="4" t="inlineStr">
        <is>
          <t>Yes</t>
        </is>
      </c>
      <c r="Q79" s="4" t="inlineStr">
        <is>
          <t>Timestamped screenshots for UI; request/response with secrets redacted for API; query IDs/counts/balances for transactions; export/build artifact or monitoring trace where applicable.</t>
        </is>
      </c>
      <c r="R79" s="4" t="inlineStr">
        <is>
          <t>Planned / Not Yet Executed</t>
        </is>
      </c>
      <c r="S79" s="4" t="inlineStr"/>
      <c r="T79" s="4" t="inlineStr"/>
      <c r="U79" s="4" t="inlineStr"/>
      <c r="V79" s="4" t="inlineStr"/>
      <c r="W79" s="4" t="inlineStr"/>
      <c r="X79" s="4" t="inlineStr"/>
    </row>
    <row r="80" ht="72" customHeight="1">
      <c r="A80" s="4" t="inlineStr">
        <is>
          <t>PAY-003</t>
        </is>
      </c>
      <c r="B80" s="4" t="inlineStr">
        <is>
          <t>Payments &amp; Shifts</t>
        </is>
      </c>
      <c r="C80" s="4" t="inlineStr">
        <is>
          <t>FR-P01, FR-P02, FR-P03</t>
        </is>
      </c>
      <c r="D80" s="4" t="inlineStr">
        <is>
          <t>Cash payment records tendered amount and exact change</t>
        </is>
      </c>
      <c r="E80" s="4" t="inlineStr">
        <is>
          <t>Verify, without assuming a pass result, that the release candidate correctly enforces: Cash payment records tendered amount and exact change.</t>
        </is>
      </c>
      <c r="F80" s="4" t="inlineStr">
        <is>
          <t>Positive</t>
        </is>
      </c>
      <c r="G80" s="4" t="inlineStr">
        <is>
          <t>Critical</t>
        </is>
      </c>
      <c r="H80" s="4" t="inlineStr">
        <is>
          <t>Critical</t>
        </is>
      </c>
      <c r="I80" s="4" t="inlineStr">
        <is>
          <t>Known served order and cashier exist; table and payment baselines are recorded.</t>
        </is>
      </c>
      <c r="J80" s="4" t="inlineStr">
        <is>
          <t>Use only named synthetic records from the Test Data Plan; capture generated IDs and baseline values in evidence. Never use real credentials, customer PII or secrets.</t>
        </is>
      </c>
      <c r="K80" s="4" t="inlineStr">
        <is>
          <t>Cashier</t>
        </is>
      </c>
      <c r="L80" s="4" t="inlineStr">
        <is>
          <t>Restaurant A / Branch A1 unless the case explicitly tests another scope</t>
        </is>
      </c>
      <c r="M80" s="4" t="inlineStr">
        <is>
          <t>1. Sign in as Cashier, or remain anonymous when the case requires it.
2. Record relevant UI, API and database baseline identifiers, statuses, counts and balances.
3. Use the documented page/API to verify that cash payment records tendered amount and exact change.
4. Refresh or repeat through an independent client where concurrency, polling or idempotency applies.
5. Compare the outcome, scope, audit fields and side effects with the expected result; capture evidence.</t>
        </is>
      </c>
      <c r="N80" s="4" t="inlineStr">
        <is>
          <t>The release candidate demonstrates the specified behavior exactly and only within the actor's authorized scope: Cash payment records tendered amount and exact change. No unrelated record changes.</t>
        </is>
      </c>
      <c r="O80" s="4" t="inlineStr">
        <is>
          <t>Reverse only synthetic changes through supported UI/API, or restore the approved isolated snapshot; confirm no residual locks, sessions, occupied tables or stock deltas.</t>
        </is>
      </c>
      <c r="P80" s="4" t="inlineStr">
        <is>
          <t>Yes</t>
        </is>
      </c>
      <c r="Q80" s="4" t="inlineStr">
        <is>
          <t>Timestamped screenshots for UI; request/response with secrets redacted for API; query IDs/counts/balances for transactions; export/build artifact or monitoring trace where applicable.</t>
        </is>
      </c>
      <c r="R80" s="4" t="inlineStr">
        <is>
          <t>Planned / Not Yet Executed</t>
        </is>
      </c>
      <c r="S80" s="4" t="inlineStr"/>
      <c r="T80" s="4" t="inlineStr"/>
      <c r="U80" s="4" t="inlineStr"/>
      <c r="V80" s="4" t="inlineStr"/>
      <c r="W80" s="4" t="inlineStr"/>
      <c r="X80" s="4" t="inlineStr"/>
    </row>
    <row r="81" ht="72" customHeight="1">
      <c r="A81" s="4" t="inlineStr">
        <is>
          <t>PAY-004</t>
        </is>
      </c>
      <c r="B81" s="4" t="inlineStr">
        <is>
          <t>Payments &amp; Shifts</t>
        </is>
      </c>
      <c r="C81" s="4" t="inlineStr">
        <is>
          <t>FR-P01, FR-P02, FR-P03</t>
        </is>
      </c>
      <c r="D81" s="4" t="inlineStr">
        <is>
          <t>Card payment records method without cash change</t>
        </is>
      </c>
      <c r="E81" s="4" t="inlineStr">
        <is>
          <t>Verify, without assuming a pass result, that the release candidate correctly enforces: Card payment records method without cash change.</t>
        </is>
      </c>
      <c r="F81" s="4" t="inlineStr">
        <is>
          <t>Negative</t>
        </is>
      </c>
      <c r="G81" s="4" t="inlineStr">
        <is>
          <t>Critical</t>
        </is>
      </c>
      <c r="H81" s="4" t="inlineStr">
        <is>
          <t>Critical</t>
        </is>
      </c>
      <c r="I81" s="4" t="inlineStr">
        <is>
          <t>Known served order and cashier exist; table and payment baselines are recorded.</t>
        </is>
      </c>
      <c r="J81" s="4" t="inlineStr">
        <is>
          <t>Use only named synthetic records from the Test Data Plan; capture generated IDs and baseline values in evidence. Never use real credentials, customer PII or secrets.</t>
        </is>
      </c>
      <c r="K81" s="4" t="inlineStr">
        <is>
          <t>Cashier</t>
        </is>
      </c>
      <c r="L81" s="4" t="inlineStr">
        <is>
          <t>Restaurant A / Branch A1 unless the case explicitly tests another scope</t>
        </is>
      </c>
      <c r="M81" s="4" t="inlineStr">
        <is>
          <t>1. Sign in as Cashier, or remain anonymous when the case requires it.
2. Record relevant UI, API and database baseline identifiers, statuses, counts and balances.
3. Use the documented page/API to verify that card payment records method without cash change.
4. Refresh or repeat through an independent client where concurrency, polling or idempotency applies.
5. Compare the outcome, scope, audit fields and side effects with the expected result; capture evidence.</t>
        </is>
      </c>
      <c r="N81" s="4" t="inlineStr">
        <is>
          <t>The release candidate demonstrates the specified behavior exactly and only within the actor's authorized scope: Card payment records method without cash change. No unrelated record changes.</t>
        </is>
      </c>
      <c r="O81" s="4" t="inlineStr">
        <is>
          <t>Reverse only synthetic changes through supported UI/API, or restore the approved isolated snapshot; confirm no residual locks, sessions, occupied tables or stock deltas.</t>
        </is>
      </c>
      <c r="P81" s="4" t="inlineStr">
        <is>
          <t>Yes</t>
        </is>
      </c>
      <c r="Q81" s="4" t="inlineStr">
        <is>
          <t>Timestamped screenshots for UI; request/response with secrets redacted for API; query IDs/counts/balances for transactions; export/build artifact or monitoring trace where applicable.</t>
        </is>
      </c>
      <c r="R81" s="4" t="inlineStr">
        <is>
          <t>Planned / Not Yet Executed</t>
        </is>
      </c>
      <c r="S81" s="4" t="inlineStr"/>
      <c r="T81" s="4" t="inlineStr"/>
      <c r="U81" s="4" t="inlineStr"/>
      <c r="V81" s="4" t="inlineStr"/>
      <c r="W81" s="4" t="inlineStr"/>
      <c r="X81" s="4" t="inlineStr"/>
    </row>
    <row r="82" ht="72" customHeight="1">
      <c r="A82" s="4" t="inlineStr">
        <is>
          <t>PAY-005</t>
        </is>
      </c>
      <c r="B82" s="4" t="inlineStr">
        <is>
          <t>Payments &amp; Shifts</t>
        </is>
      </c>
      <c r="C82" s="4" t="inlineStr">
        <is>
          <t>FR-P01, FR-P02, FR-P03</t>
        </is>
      </c>
      <c r="D82" s="4" t="inlineStr">
        <is>
          <t>Wallet payment records method without cash change</t>
        </is>
      </c>
      <c r="E82" s="4" t="inlineStr">
        <is>
          <t>Verify, without assuming a pass result, that the release candidate correctly enforces: Wallet payment records method without cash change.</t>
        </is>
      </c>
      <c r="F82" s="4" t="inlineStr">
        <is>
          <t>Negative</t>
        </is>
      </c>
      <c r="G82" s="4" t="inlineStr">
        <is>
          <t>Critical</t>
        </is>
      </c>
      <c r="H82" s="4" t="inlineStr">
        <is>
          <t>Critical</t>
        </is>
      </c>
      <c r="I82" s="4" t="inlineStr">
        <is>
          <t>Known served order and cashier exist; table and payment baselines are recorded.</t>
        </is>
      </c>
      <c r="J82" s="4" t="inlineStr">
        <is>
          <t>Use only named synthetic records from the Test Data Plan; capture generated IDs and baseline values in evidence. Never use real credentials, customer PII or secrets.</t>
        </is>
      </c>
      <c r="K82" s="4" t="inlineStr">
        <is>
          <t>Cashier</t>
        </is>
      </c>
      <c r="L82" s="4" t="inlineStr">
        <is>
          <t>Restaurant A / Branch A1 unless the case explicitly tests another scope</t>
        </is>
      </c>
      <c r="M82" s="4" t="inlineStr">
        <is>
          <t>1. Sign in as Cashier, or remain anonymous when the case requires it.
2. Record relevant UI, API and database baseline identifiers, statuses, counts and balances.
3. Use the documented page/API to verify that wallet payment records method without cash change.
4. Refresh or repeat through an independent client where concurrency, polling or idempotency applies.
5. Compare the outcome, scope, audit fields and side effects with the expected result; capture evidence.</t>
        </is>
      </c>
      <c r="N82" s="4" t="inlineStr">
        <is>
          <t>The release candidate demonstrates the specified behavior exactly and only within the actor's authorized scope: Wallet payment records method without cash change. No unrelated record changes.</t>
        </is>
      </c>
      <c r="O82" s="4" t="inlineStr">
        <is>
          <t>Reverse only synthetic changes through supported UI/API, or restore the approved isolated snapshot; confirm no residual locks, sessions, occupied tables or stock deltas.</t>
        </is>
      </c>
      <c r="P82" s="4" t="inlineStr">
        <is>
          <t>Yes</t>
        </is>
      </c>
      <c r="Q82" s="4" t="inlineStr">
        <is>
          <t>Timestamped screenshots for UI; request/response with secrets redacted for API; query IDs/counts/balances for transactions; export/build artifact or monitoring trace where applicable.</t>
        </is>
      </c>
      <c r="R82" s="4" t="inlineStr">
        <is>
          <t>Planned / Not Yet Executed</t>
        </is>
      </c>
      <c r="S82" s="4" t="inlineStr"/>
      <c r="T82" s="4" t="inlineStr"/>
      <c r="U82" s="4" t="inlineStr"/>
      <c r="V82" s="4" t="inlineStr"/>
      <c r="W82" s="4" t="inlineStr"/>
      <c r="X82" s="4" t="inlineStr"/>
    </row>
    <row r="83" ht="72" customHeight="1">
      <c r="A83" s="4" t="inlineStr">
        <is>
          <t>PAY-006</t>
        </is>
      </c>
      <c r="B83" s="4" t="inlineStr">
        <is>
          <t>Payments &amp; Shifts</t>
        </is>
      </c>
      <c r="C83" s="4" t="inlineStr">
        <is>
          <t>FR-P01, FR-P02, FR-P03</t>
        </is>
      </c>
      <c r="D83" s="4" t="inlineStr">
        <is>
          <t>Only served orders can be paid</t>
        </is>
      </c>
      <c r="E83" s="4" t="inlineStr">
        <is>
          <t>Verify, without assuming a pass result, that the release candidate correctly enforces: Only served orders can be paid.</t>
        </is>
      </c>
      <c r="F83" s="4" t="inlineStr">
        <is>
          <t>Authorization</t>
        </is>
      </c>
      <c r="G83" s="4" t="inlineStr">
        <is>
          <t>High</t>
        </is>
      </c>
      <c r="H83" s="4" t="inlineStr">
        <is>
          <t>High</t>
        </is>
      </c>
      <c r="I83" s="4" t="inlineStr">
        <is>
          <t>Known served order and cashier exist; table and payment baselines are recorded.</t>
        </is>
      </c>
      <c r="J83" s="4" t="inlineStr">
        <is>
          <t>Use only named synthetic records from the Test Data Plan; capture generated IDs and baseline values in evidence. Never use real credentials, customer PII or secrets.</t>
        </is>
      </c>
      <c r="K83" s="4" t="inlineStr">
        <is>
          <t>Cashier</t>
        </is>
      </c>
      <c r="L83" s="4" t="inlineStr">
        <is>
          <t>Restaurant A / Branch A1 unless the case explicitly tests another scope</t>
        </is>
      </c>
      <c r="M83" s="4" t="inlineStr">
        <is>
          <t>1. Sign in as Cashier, or remain anonymous when the case requires it.
2. Record relevant UI, API and database baseline identifiers, statuses, counts and balances.
3. Use the documented page/API to verify that only served orders can be paid.
4. Refresh or repeat through an independent client where concurrency, polling or idempotency applies.
5. Compare the outcome, scope, audit fields and side effects with the expected result; capture evidence.</t>
        </is>
      </c>
      <c r="N83" s="4" t="inlineStr">
        <is>
          <t>The release candidate demonstrates the specified behavior exactly and only within the actor's authorized scope: Only served orders can be paid. No unrelated record changes.</t>
        </is>
      </c>
      <c r="O83" s="4" t="inlineStr">
        <is>
          <t>Reverse only synthetic changes through supported UI/API, or restore the approved isolated snapshot; confirm no residual locks, sessions, occupied tables or stock deltas.</t>
        </is>
      </c>
      <c r="P83" s="4" t="inlineStr">
        <is>
          <t>Yes</t>
        </is>
      </c>
      <c r="Q83" s="4" t="inlineStr">
        <is>
          <t>Timestamped screenshots for UI; request/response with secrets redacted for API; query IDs/counts/balances for transactions; export/build artifact or monitoring trace where applicable.</t>
        </is>
      </c>
      <c r="R83" s="4" t="inlineStr">
        <is>
          <t>Planned / Not Yet Executed</t>
        </is>
      </c>
      <c r="S83" s="4" t="inlineStr"/>
      <c r="T83" s="4" t="inlineStr"/>
      <c r="U83" s="4" t="inlineStr"/>
      <c r="V83" s="4" t="inlineStr"/>
      <c r="W83" s="4" t="inlineStr"/>
      <c r="X83" s="4" t="inlineStr"/>
    </row>
    <row r="84" ht="72" customHeight="1">
      <c r="A84" s="4" t="inlineStr">
        <is>
          <t>PAY-007</t>
        </is>
      </c>
      <c r="B84" s="4" t="inlineStr">
        <is>
          <t>Payments &amp; Shifts</t>
        </is>
      </c>
      <c r="C84" s="4" t="inlineStr">
        <is>
          <t>FR-P01, FR-P02, FR-P03</t>
        </is>
      </c>
      <c r="D84" s="4" t="inlineStr">
        <is>
          <t>Partial payment is rejected or handled only by an explicit supported contract</t>
        </is>
      </c>
      <c r="E84" s="4" t="inlineStr">
        <is>
          <t>Verify, without assuming a pass result, that the release candidate correctly enforces: Partial payment is rejected or handled only by an explicit supported contract.</t>
        </is>
      </c>
      <c r="F84" s="4" t="inlineStr">
        <is>
          <t>Negative</t>
        </is>
      </c>
      <c r="G84" s="4" t="inlineStr">
        <is>
          <t>Critical</t>
        </is>
      </c>
      <c r="H84" s="4" t="inlineStr">
        <is>
          <t>Critical</t>
        </is>
      </c>
      <c r="I84" s="4" t="inlineStr">
        <is>
          <t>Known served order and cashier exist; table and payment baselines are recorded.</t>
        </is>
      </c>
      <c r="J84" s="4" t="inlineStr">
        <is>
          <t>Use only named synthetic records from the Test Data Plan; capture generated IDs and baseline values in evidence. Never use real credentials, customer PII or secrets.</t>
        </is>
      </c>
      <c r="K84" s="4" t="inlineStr">
        <is>
          <t>Cashier</t>
        </is>
      </c>
      <c r="L84" s="4" t="inlineStr">
        <is>
          <t>Restaurant A / Branch A1 unless the case explicitly tests another scope</t>
        </is>
      </c>
      <c r="M84" s="4" t="inlineStr">
        <is>
          <t>1. Sign in as Cashier, or remain anonymous when the case requires it.
2. Record relevant UI, API and database baseline identifiers, statuses, counts and balances.
3. Use the documented page/API to verify that partial payment is rejected or handled only by an explicit supported contract.
4. Refresh or repeat through an independent client where concurrency, polling or idempotency applies.
5. Compare the outcome, scope, audit fields and side effects with the expected result; capture evidence.</t>
        </is>
      </c>
      <c r="N84" s="4" t="inlineStr">
        <is>
          <t>The operation is refused with a stable, safe error; no unauthorized or partial mutation occurs. Specifically: Partial payment is rejected or handled only by an explicit supported contract.</t>
        </is>
      </c>
      <c r="O84" s="4" t="inlineStr">
        <is>
          <t>Reverse only synthetic changes through supported UI/API, or restore the approved isolated snapshot; confirm no residual locks, sessions, occupied tables or stock deltas.</t>
        </is>
      </c>
      <c r="P84" s="4" t="inlineStr">
        <is>
          <t>Yes</t>
        </is>
      </c>
      <c r="Q84" s="4" t="inlineStr">
        <is>
          <t>Timestamped screenshots for UI; request/response with secrets redacted for API; query IDs/counts/balances for transactions; export/build artifact or monitoring trace where applicable.</t>
        </is>
      </c>
      <c r="R84" s="4" t="inlineStr">
        <is>
          <t>Planned / Not Yet Executed</t>
        </is>
      </c>
      <c r="S84" s="4" t="inlineStr"/>
      <c r="T84" s="4" t="inlineStr"/>
      <c r="U84" s="4" t="inlineStr"/>
      <c r="V84" s="4" t="inlineStr"/>
      <c r="W84" s="4" t="inlineStr"/>
      <c r="X84" s="4" t="inlineStr"/>
    </row>
    <row r="85" ht="72" customHeight="1">
      <c r="A85" s="4" t="inlineStr">
        <is>
          <t>PAY-008</t>
        </is>
      </c>
      <c r="B85" s="4" t="inlineStr">
        <is>
          <t>Payments &amp; Shifts</t>
        </is>
      </c>
      <c r="C85" s="4" t="inlineStr">
        <is>
          <t>FR-P01, FR-P02, FR-P03</t>
        </is>
      </c>
      <c r="D85" s="4" t="inlineStr">
        <is>
          <t>Underpayment and negative payment values are rejected</t>
        </is>
      </c>
      <c r="E85" s="4" t="inlineStr">
        <is>
          <t>Verify, without assuming a pass result, that the release candidate correctly enforces: Underpayment and negative payment values are rejected.</t>
        </is>
      </c>
      <c r="F85" s="4" t="inlineStr">
        <is>
          <t>Negative</t>
        </is>
      </c>
      <c r="G85" s="4" t="inlineStr">
        <is>
          <t>Critical</t>
        </is>
      </c>
      <c r="H85" s="4" t="inlineStr">
        <is>
          <t>Critical</t>
        </is>
      </c>
      <c r="I85" s="4" t="inlineStr">
        <is>
          <t>Known served order and cashier exist; table and payment baselines are recorded.</t>
        </is>
      </c>
      <c r="J85" s="4" t="inlineStr">
        <is>
          <t>Use only named synthetic records from the Test Data Plan; capture generated IDs and baseline values in evidence. Never use real credentials, customer PII or secrets.</t>
        </is>
      </c>
      <c r="K85" s="4" t="inlineStr">
        <is>
          <t>Cashier</t>
        </is>
      </c>
      <c r="L85" s="4" t="inlineStr">
        <is>
          <t>Restaurant A / Branch A1 unless the case explicitly tests another scope</t>
        </is>
      </c>
      <c r="M85" s="4" t="inlineStr">
        <is>
          <t>1. Sign in as Cashier, or remain anonymous when the case requires it.
2. Record relevant UI, API and database baseline identifiers, statuses, counts and balances.
3. Use the documented page/API to verify that underpayment and negative payment values are rejected.
4. Refresh or repeat through an independent client where concurrency, polling or idempotency applies.
5. Compare the outcome, scope, audit fields and side effects with the expected result; capture evidence.</t>
        </is>
      </c>
      <c r="N85" s="4" t="inlineStr">
        <is>
          <t>The operation is refused with a stable, safe error; no unauthorized or partial mutation occurs. Specifically: Underpayment and negative payment values are rejected.</t>
        </is>
      </c>
      <c r="O85" s="4" t="inlineStr">
        <is>
          <t>Reverse only synthetic changes through supported UI/API, or restore the approved isolated snapshot; confirm no residual locks, sessions, occupied tables or stock deltas.</t>
        </is>
      </c>
      <c r="P85" s="4" t="inlineStr">
        <is>
          <t>Yes</t>
        </is>
      </c>
      <c r="Q85" s="4" t="inlineStr">
        <is>
          <t>Timestamped screenshots for UI; request/response with secrets redacted for API; query IDs/counts/balances for transactions; export/build artifact or monitoring trace where applicable.</t>
        </is>
      </c>
      <c r="R85" s="4" t="inlineStr">
        <is>
          <t>Planned / Not Yet Executed</t>
        </is>
      </c>
      <c r="S85" s="4" t="inlineStr"/>
      <c r="T85" s="4" t="inlineStr"/>
      <c r="U85" s="4" t="inlineStr"/>
      <c r="V85" s="4" t="inlineStr"/>
      <c r="W85" s="4" t="inlineStr"/>
      <c r="X85" s="4" t="inlineStr"/>
    </row>
    <row r="86" ht="72" customHeight="1">
      <c r="A86" s="4" t="inlineStr">
        <is>
          <t>PAY-009</t>
        </is>
      </c>
      <c r="B86" s="4" t="inlineStr">
        <is>
          <t>Payments &amp; Shifts</t>
        </is>
      </c>
      <c r="C86" s="4" t="inlineStr">
        <is>
          <t>FR-P01, FR-P02, FR-P03</t>
        </is>
      </c>
      <c r="D86" s="4" t="inlineStr">
        <is>
          <t>Unsupported payment method is rejected</t>
        </is>
      </c>
      <c r="E86" s="4" t="inlineStr">
        <is>
          <t>Verify, without assuming a pass result, that the release candidate correctly enforces: Unsupported payment method is rejected.</t>
        </is>
      </c>
      <c r="F86" s="4" t="inlineStr">
        <is>
          <t>Negative</t>
        </is>
      </c>
      <c r="G86" s="4" t="inlineStr">
        <is>
          <t>Critical</t>
        </is>
      </c>
      <c r="H86" s="4" t="inlineStr">
        <is>
          <t>Critical</t>
        </is>
      </c>
      <c r="I86" s="4" t="inlineStr">
        <is>
          <t>Known served order and cashier exist; table and payment baselines are recorded.</t>
        </is>
      </c>
      <c r="J86" s="4" t="inlineStr">
        <is>
          <t>Use only named synthetic records from the Test Data Plan; capture generated IDs and baseline values in evidence. Never use real credentials, customer PII or secrets.</t>
        </is>
      </c>
      <c r="K86" s="4" t="inlineStr">
        <is>
          <t>Cashier</t>
        </is>
      </c>
      <c r="L86" s="4" t="inlineStr">
        <is>
          <t>Restaurant A / Branch A1 unless the case explicitly tests another scope</t>
        </is>
      </c>
      <c r="M86" s="4" t="inlineStr">
        <is>
          <t>1. Sign in as Cashier, or remain anonymous when the case requires it.
2. Record relevant UI, API and database baseline identifiers, statuses, counts and balances.
3. Use the documented page/API to verify that unsupported payment method is rejected.
4. Refresh or repeat through an independent client where concurrency, polling or idempotency applies.
5. Compare the outcome, scope, audit fields and side effects with the expected result; capture evidence.</t>
        </is>
      </c>
      <c r="N86" s="4" t="inlineStr">
        <is>
          <t>The operation is refused with a stable, safe error; no unauthorized or partial mutation occurs. Specifically: Unsupported payment method is rejected.</t>
        </is>
      </c>
      <c r="O86" s="4" t="inlineStr">
        <is>
          <t>Reverse only synthetic changes through supported UI/API, or restore the approved isolated snapshot; confirm no residual locks, sessions, occupied tables or stock deltas.</t>
        </is>
      </c>
      <c r="P86" s="4" t="inlineStr">
        <is>
          <t>Yes</t>
        </is>
      </c>
      <c r="Q86" s="4" t="inlineStr">
        <is>
          <t>Timestamped screenshots for UI; request/response with secrets redacted for API; query IDs/counts/balances for transactions; export/build artifact or monitoring trace where applicable.</t>
        </is>
      </c>
      <c r="R86" s="4" t="inlineStr">
        <is>
          <t>Planned / Not Yet Executed</t>
        </is>
      </c>
      <c r="S86" s="4" t="inlineStr"/>
      <c r="T86" s="4" t="inlineStr"/>
      <c r="U86" s="4" t="inlineStr"/>
      <c r="V86" s="4" t="inlineStr"/>
      <c r="W86" s="4" t="inlineStr"/>
      <c r="X86" s="4" t="inlineStr"/>
    </row>
    <row r="87" ht="72" customHeight="1">
      <c r="A87" s="4" t="inlineStr">
        <is>
          <t>PAY-010</t>
        </is>
      </c>
      <c r="B87" s="4" t="inlineStr">
        <is>
          <t>Payments &amp; Shifts</t>
        </is>
      </c>
      <c r="C87" s="4" t="inlineStr">
        <is>
          <t>FR-P01, FR-P02, FR-P03</t>
        </is>
      </c>
      <c r="D87" s="4" t="inlineStr">
        <is>
          <t>Duplicate payment submission creates one payment only</t>
        </is>
      </c>
      <c r="E87" s="4" t="inlineStr">
        <is>
          <t>Verify, without assuming a pass result, that the release candidate correctly enforces: Duplicate payment submission creates one payment only.</t>
        </is>
      </c>
      <c r="F87" s="4" t="inlineStr">
        <is>
          <t>Authorization</t>
        </is>
      </c>
      <c r="G87" s="4" t="inlineStr">
        <is>
          <t>Critical</t>
        </is>
      </c>
      <c r="H87" s="4" t="inlineStr">
        <is>
          <t>Critical</t>
        </is>
      </c>
      <c r="I87" s="4" t="inlineStr">
        <is>
          <t>Known served order and cashier exist; table and payment baselines are recorded.</t>
        </is>
      </c>
      <c r="J87" s="4" t="inlineStr">
        <is>
          <t>Use only named synthetic records from the Test Data Plan; capture generated IDs and baseline values in evidence. Never use real credentials, customer PII or secrets.</t>
        </is>
      </c>
      <c r="K87" s="4" t="inlineStr">
        <is>
          <t>Cashier</t>
        </is>
      </c>
      <c r="L87" s="4" t="inlineStr">
        <is>
          <t>Restaurant A / Branch A1 unless the case explicitly tests another scope</t>
        </is>
      </c>
      <c r="M87" s="4" t="inlineStr">
        <is>
          <t>1. Sign in as Cashier, or remain anonymous when the case requires it.
2. Record relevant UI, API and database baseline identifiers, statuses, counts and balances.
3. Use the documented page/API to verify that duplicate payment submission creates one payment only.
4. Refresh or repeat through an independent client where concurrency, polling or idempotency applies.
5. Compare the outcome, scope, audit fields and side effects with the expected result; capture evidence.</t>
        </is>
      </c>
      <c r="N87" s="4" t="inlineStr">
        <is>
          <t>The release candidate demonstrates the specified behavior exactly and only within the actor's authorized scope: Duplicate payment submission creates one payment only. No unrelated record changes.</t>
        </is>
      </c>
      <c r="O87" s="4" t="inlineStr">
        <is>
          <t>Reverse only synthetic changes through supported UI/API, or restore the approved isolated snapshot; confirm no residual locks, sessions, occupied tables or stock deltas.</t>
        </is>
      </c>
      <c r="P87" s="4" t="inlineStr">
        <is>
          <t>Yes</t>
        </is>
      </c>
      <c r="Q87" s="4" t="inlineStr">
        <is>
          <t>Timestamped screenshots for UI; request/response with secrets redacted for API; query IDs/counts/balances for transactions; export/build artifact or monitoring trace where applicable.</t>
        </is>
      </c>
      <c r="R87" s="4" t="inlineStr">
        <is>
          <t>Planned / Not Yet Executed</t>
        </is>
      </c>
      <c r="S87" s="4" t="inlineStr"/>
      <c r="T87" s="4" t="inlineStr"/>
      <c r="U87" s="4" t="inlineStr"/>
      <c r="V87" s="4" t="inlineStr"/>
      <c r="W87" s="4" t="inlineStr"/>
      <c r="X87" s="4" t="inlineStr"/>
    </row>
    <row r="88" ht="72" customHeight="1">
      <c r="A88" s="4" t="inlineStr">
        <is>
          <t>PAY-011</t>
        </is>
      </c>
      <c r="B88" s="4" t="inlineStr">
        <is>
          <t>Payments &amp; Shifts</t>
        </is>
      </c>
      <c r="C88" s="4" t="inlineStr">
        <is>
          <t>FR-P01, FR-P02, FR-P03</t>
        </is>
      </c>
      <c r="D88" s="4" t="inlineStr">
        <is>
          <t>Concurrent cashiers cannot both pay the same order</t>
        </is>
      </c>
      <c r="E88" s="4" t="inlineStr">
        <is>
          <t>Verify, without assuming a pass result, that the release candidate correctly enforces: Concurrent cashiers cannot both pay the same order.</t>
        </is>
      </c>
      <c r="F88" s="4" t="inlineStr">
        <is>
          <t>Negative</t>
        </is>
      </c>
      <c r="G88" s="4" t="inlineStr">
        <is>
          <t>High</t>
        </is>
      </c>
      <c r="H88" s="4" t="inlineStr">
        <is>
          <t>High</t>
        </is>
      </c>
      <c r="I88" s="4" t="inlineStr">
        <is>
          <t>Known served order and cashier exist; table and payment baselines are recorded.</t>
        </is>
      </c>
      <c r="J88" s="4" t="inlineStr">
        <is>
          <t>Use only named synthetic records from the Test Data Plan; capture generated IDs and baseline values in evidence. Never use real credentials, customer PII or secrets.</t>
        </is>
      </c>
      <c r="K88" s="4" t="inlineStr">
        <is>
          <t>Cashier</t>
        </is>
      </c>
      <c r="L88" s="4" t="inlineStr">
        <is>
          <t>Restaurant A / Branch A1 unless the case explicitly tests another scope</t>
        </is>
      </c>
      <c r="M88" s="4" t="inlineStr">
        <is>
          <t>1. Sign in as Cashier, or remain anonymous when the case requires it.
2. Record relevant UI, API and database baseline identifiers, statuses, counts and balances.
3. Use the documented page/API to verify that concurrent cashiers cannot both pay the same order.
4. Refresh or repeat through an independent client where concurrency, polling or idempotency applies.
5. Compare the outcome, scope, audit fields and side effects with the expected result; capture evidence.</t>
        </is>
      </c>
      <c r="N88" s="4" t="inlineStr">
        <is>
          <t>The operation is refused with a stable, safe error; no unauthorized or partial mutation occurs. Specifically: Concurrent cashiers cannot both pay the same order.</t>
        </is>
      </c>
      <c r="O88" s="4" t="inlineStr">
        <is>
          <t>Reverse only synthetic changes through supported UI/API, or restore the approved isolated snapshot; confirm no residual locks, sessions, occupied tables or stock deltas.</t>
        </is>
      </c>
      <c r="P88" s="4" t="inlineStr">
        <is>
          <t>Yes</t>
        </is>
      </c>
      <c r="Q88" s="4" t="inlineStr">
        <is>
          <t>Timestamped screenshots for UI; request/response with secrets redacted for API; query IDs/counts/balances for transactions; export/build artifact or monitoring trace where applicable.</t>
        </is>
      </c>
      <c r="R88" s="4" t="inlineStr">
        <is>
          <t>Planned / Not Yet Executed</t>
        </is>
      </c>
      <c r="S88" s="4" t="inlineStr"/>
      <c r="T88" s="4" t="inlineStr"/>
      <c r="U88" s="4" t="inlineStr"/>
      <c r="V88" s="4" t="inlineStr"/>
      <c r="W88" s="4" t="inlineStr"/>
      <c r="X88" s="4" t="inlineStr"/>
    </row>
    <row r="89" ht="72" customHeight="1">
      <c r="A89" s="4" t="inlineStr">
        <is>
          <t>PAY-012</t>
        </is>
      </c>
      <c r="B89" s="4" t="inlineStr">
        <is>
          <t>Payments &amp; Shifts</t>
        </is>
      </c>
      <c r="C89" s="4" t="inlineStr">
        <is>
          <t>FR-P01, FR-P02, FR-P03</t>
        </is>
      </c>
      <c r="D89" s="4" t="inlineStr">
        <is>
          <t>Successful payment marks order paid and releases its table atomically</t>
        </is>
      </c>
      <c r="E89" s="4" t="inlineStr">
        <is>
          <t>Verify, without assuming a pass result, that the release candidate correctly enforces: Successful payment marks order paid and releases its table atomically.</t>
        </is>
      </c>
      <c r="F89" s="4" t="inlineStr">
        <is>
          <t>Integration</t>
        </is>
      </c>
      <c r="G89" s="4" t="inlineStr">
        <is>
          <t>Critical</t>
        </is>
      </c>
      <c r="H89" s="4" t="inlineStr">
        <is>
          <t>Critical</t>
        </is>
      </c>
      <c r="I89" s="4" t="inlineStr">
        <is>
          <t>Known served order and cashier exist; table and payment baselines are recorded.</t>
        </is>
      </c>
      <c r="J89" s="4" t="inlineStr">
        <is>
          <t>Use only named synthetic records from the Test Data Plan; capture generated IDs and baseline values in evidence. Never use real credentials, customer PII or secrets.</t>
        </is>
      </c>
      <c r="K89" s="4" t="inlineStr">
        <is>
          <t>Cashier</t>
        </is>
      </c>
      <c r="L89" s="4" t="inlineStr">
        <is>
          <t>Restaurant A / Branch A1 unless the case explicitly tests another scope</t>
        </is>
      </c>
      <c r="M89" s="4" t="inlineStr">
        <is>
          <t>1. Sign in as Cashier, or remain anonymous when the case requires it.
2. Record relevant UI, API and database baseline identifiers, statuses, counts and balances.
3. Use the documented page/API to verify that successful payment marks order paid and releases its table atomically.
4. Refresh or repeat through an independent client where concurrency, polling or idempotency applies.
5. Compare the outcome, scope, audit fields and side effects with the expected result; capture evidence.</t>
        </is>
      </c>
      <c r="N89" s="4" t="inlineStr">
        <is>
          <t>All related writes commit once as one unit and reconcile to the captured baseline; an injected/observed failure leaves every related record unchanged.</t>
        </is>
      </c>
      <c r="O89" s="4" t="inlineStr">
        <is>
          <t>Reverse only synthetic changes through supported UI/API, or restore the approved isolated snapshot; confirm no residual locks, sessions, occupied tables or stock deltas.</t>
        </is>
      </c>
      <c r="P89" s="4" t="inlineStr">
        <is>
          <t>Yes</t>
        </is>
      </c>
      <c r="Q89" s="4" t="inlineStr">
        <is>
          <t>Timestamped screenshots for UI; request/response with secrets redacted for API; query IDs/counts/balances for transactions; export/build artifact or monitoring trace where applicable.</t>
        </is>
      </c>
      <c r="R89" s="4" t="inlineStr">
        <is>
          <t>Planned / Not Yet Executed</t>
        </is>
      </c>
      <c r="S89" s="4" t="inlineStr"/>
      <c r="T89" s="4" t="inlineStr"/>
      <c r="U89" s="4" t="inlineStr"/>
      <c r="V89" s="4" t="inlineStr"/>
      <c r="W89" s="4" t="inlineStr"/>
      <c r="X89" s="4" t="inlineStr"/>
    </row>
    <row r="90" ht="72" customHeight="1">
      <c r="A90" s="4" t="inlineStr">
        <is>
          <t>PAY-013</t>
        </is>
      </c>
      <c r="B90" s="4" t="inlineStr">
        <is>
          <t>Payments &amp; Shifts</t>
        </is>
      </c>
      <c r="C90" s="4" t="inlineStr">
        <is>
          <t>FR-P01, FR-P02, FR-P03</t>
        </is>
      </c>
      <c r="D90" s="4" t="inlineStr">
        <is>
          <t>Payment failure leaves order and table unchanged</t>
        </is>
      </c>
      <c r="E90" s="4" t="inlineStr">
        <is>
          <t>Verify, without assuming a pass result, that the release candidate correctly enforces: Payment failure leaves order and table unchanged.</t>
        </is>
      </c>
      <c r="F90" s="4" t="inlineStr">
        <is>
          <t>Negative</t>
        </is>
      </c>
      <c r="G90" s="4" t="inlineStr">
        <is>
          <t>Critical</t>
        </is>
      </c>
      <c r="H90" s="4" t="inlineStr">
        <is>
          <t>Critical</t>
        </is>
      </c>
      <c r="I90" s="4" t="inlineStr">
        <is>
          <t>Known served order and cashier exist; table and payment baselines are recorded.</t>
        </is>
      </c>
      <c r="J90" s="4" t="inlineStr">
        <is>
          <t>Use only named synthetic records from the Test Data Plan; capture generated IDs and baseline values in evidence. Never use real credentials, customer PII or secrets.</t>
        </is>
      </c>
      <c r="K90" s="4" t="inlineStr">
        <is>
          <t>Cashier</t>
        </is>
      </c>
      <c r="L90" s="4" t="inlineStr">
        <is>
          <t>Restaurant A / Branch A1 unless the case explicitly tests another scope</t>
        </is>
      </c>
      <c r="M90" s="4" t="inlineStr">
        <is>
          <t>1. Sign in as Cashier, or remain anonymous when the case requires it.
2. Record relevant UI, API and database baseline identifiers, statuses, counts and balances.
3. Use the documented page/API to verify that payment failure leaves order and table unchanged.
4. Refresh or repeat through an independent client where concurrency, polling or idempotency applies.
5. Compare the outcome, scope, audit fields and side effects with the expected result; capture evidence.</t>
        </is>
      </c>
      <c r="N90" s="4" t="inlineStr">
        <is>
          <t>The operation is refused with a stable, safe error; no unauthorized or partial mutation occurs. Specifically: Payment failure leaves order and table unchanged.</t>
        </is>
      </c>
      <c r="O90" s="4" t="inlineStr">
        <is>
          <t>Reverse only synthetic changes through supported UI/API, or restore the approved isolated snapshot; confirm no residual locks, sessions, occupied tables or stock deltas.</t>
        </is>
      </c>
      <c r="P90" s="4" t="inlineStr">
        <is>
          <t>Yes</t>
        </is>
      </c>
      <c r="Q90" s="4" t="inlineStr">
        <is>
          <t>Timestamped screenshots for UI; request/response with secrets redacted for API; query IDs/counts/balances for transactions; export/build artifact or monitoring trace where applicable.</t>
        </is>
      </c>
      <c r="R90" s="4" t="inlineStr">
        <is>
          <t>Planned / Not Yet Executed</t>
        </is>
      </c>
      <c r="S90" s="4" t="inlineStr"/>
      <c r="T90" s="4" t="inlineStr"/>
      <c r="U90" s="4" t="inlineStr"/>
      <c r="V90" s="4" t="inlineStr"/>
      <c r="W90" s="4" t="inlineStr"/>
      <c r="X90" s="4" t="inlineStr"/>
    </row>
    <row r="91" ht="72" customHeight="1">
      <c r="A91" s="4" t="inlineStr">
        <is>
          <t>PAY-014</t>
        </is>
      </c>
      <c r="B91" s="4" t="inlineStr">
        <is>
          <t>Payments &amp; Shifts</t>
        </is>
      </c>
      <c r="C91" s="4" t="inlineStr">
        <is>
          <t>FR-P01, FR-P02, FR-P03</t>
        </is>
      </c>
      <c r="D91" s="4" t="inlineStr">
        <is>
          <t>Daily method totals and transaction count reconcile to payments</t>
        </is>
      </c>
      <c r="E91" s="4" t="inlineStr">
        <is>
          <t>Verify, without assuming a pass result, that the release candidate correctly enforces: Daily method totals and transaction count reconcile to payments.</t>
        </is>
      </c>
      <c r="F91" s="4" t="inlineStr">
        <is>
          <t>Integration</t>
        </is>
      </c>
      <c r="G91" s="4" t="inlineStr">
        <is>
          <t>Critical</t>
        </is>
      </c>
      <c r="H91" s="4" t="inlineStr">
        <is>
          <t>Critical</t>
        </is>
      </c>
      <c r="I91" s="4" t="inlineStr">
        <is>
          <t>Known served order and cashier exist; table and payment baselines are recorded.</t>
        </is>
      </c>
      <c r="J91" s="4" t="inlineStr">
        <is>
          <t>Use only named synthetic records from the Test Data Plan; capture generated IDs and baseline values in evidence. Never use real credentials, customer PII or secrets.</t>
        </is>
      </c>
      <c r="K91" s="4" t="inlineStr">
        <is>
          <t>Cashier</t>
        </is>
      </c>
      <c r="L91" s="4" t="inlineStr">
        <is>
          <t>Restaurant A / Branch A1 unless the case explicitly tests another scope</t>
        </is>
      </c>
      <c r="M91" s="4" t="inlineStr">
        <is>
          <t>1. Sign in as Cashier, or remain anonymous when the case requires it.
2. Record relevant UI, API and database baseline identifiers, statuses, counts and balances.
3. Use the documented page/API to verify that daily method totals and transaction count reconcile to payments.
4. Refresh or repeat through an independent client where concurrency, polling or idempotency applies.
5. Compare the outcome, scope, audit fields and side effects with the expected result; capture evidence.</t>
        </is>
      </c>
      <c r="N91" s="4" t="inlineStr">
        <is>
          <t>Displayed/exported values exactly equal independently calculated values from authorized source records, with correct scope, date boundary and ETB precision.</t>
        </is>
      </c>
      <c r="O91" s="4" t="inlineStr">
        <is>
          <t>Reverse only synthetic changes through supported UI/API, or restore the approved isolated snapshot; confirm no residual locks, sessions, occupied tables or stock deltas.</t>
        </is>
      </c>
      <c r="P91" s="4" t="inlineStr">
        <is>
          <t>Yes</t>
        </is>
      </c>
      <c r="Q91" s="4" t="inlineStr">
        <is>
          <t>Timestamped screenshots for UI; request/response with secrets redacted for API; query IDs/counts/balances for transactions; export/build artifact or monitoring trace where applicable.</t>
        </is>
      </c>
      <c r="R91" s="4" t="inlineStr">
        <is>
          <t>Planned / Not Yet Executed</t>
        </is>
      </c>
      <c r="S91" s="4" t="inlineStr"/>
      <c r="T91" s="4" t="inlineStr"/>
      <c r="U91" s="4" t="inlineStr"/>
      <c r="V91" s="4" t="inlineStr"/>
      <c r="W91" s="4" t="inlineStr"/>
      <c r="X91" s="4" t="inlineStr"/>
    </row>
    <row r="92" ht="72" customHeight="1">
      <c r="A92" s="4" t="inlineStr">
        <is>
          <t>MENU-001</t>
        </is>
      </c>
      <c r="B92" s="4" t="inlineStr">
        <is>
          <t>Menu &amp; Categories</t>
        </is>
      </c>
      <c r="C92" s="4" t="inlineStr">
        <is>
          <t>FR-M01, FR-M02</t>
        </is>
      </c>
      <c r="D92" s="4" t="inlineStr">
        <is>
          <t>Manager creates and edits a menu category</t>
        </is>
      </c>
      <c r="E92" s="4" t="inlineStr">
        <is>
          <t>Verify, without assuming a pass result, that the release candidate correctly enforces: Manager creates and edits a menu category.</t>
        </is>
      </c>
      <c r="F92" s="4" t="inlineStr">
        <is>
          <t>Positive</t>
        </is>
      </c>
      <c r="G92" s="4" t="inlineStr">
        <is>
          <t>Medium</t>
        </is>
      </c>
      <c r="H92" s="4" t="inlineStr">
        <is>
          <t>Medium</t>
        </is>
      </c>
      <c r="I92" s="4" t="inlineStr">
        <is>
          <t>Manager account and synthetic category/item dataset exist.</t>
        </is>
      </c>
      <c r="J92" s="4" t="inlineStr">
        <is>
          <t>Use only named synthetic records from the Test Data Plan; capture generated IDs and baseline values in evidence. Never use real credentials, customer PII or secrets.</t>
        </is>
      </c>
      <c r="K92" s="4" t="inlineStr">
        <is>
          <t>Manager / Admin</t>
        </is>
      </c>
      <c r="L92" s="4" t="inlineStr">
        <is>
          <t>Restaurant A / Branch A1 unless the case explicitly tests another scope</t>
        </is>
      </c>
      <c r="M92" s="4" t="inlineStr">
        <is>
          <t>1. Sign in as Manager / Admin, or remain anonymous when the case requires it.
2. Record relevant UI, API and database baseline identifiers, statuses, counts and balances.
3. Use the documented page/API to verify that manager creates and edits a menu category.
4. Refresh or repeat through an independent client where concurrency, polling or idempotency applies.
5. Compare the outcome, scope, audit fields and side effects with the expected result; capture evidence.</t>
        </is>
      </c>
      <c r="N92" s="4" t="inlineStr">
        <is>
          <t>The release candidate demonstrates the specified behavior exactly and only within the actor's authorized scope: Manager creates and edits a menu category. No unrelated record changes.</t>
        </is>
      </c>
      <c r="O92" s="4" t="inlineStr">
        <is>
          <t>Reverse only synthetic changes through supported UI/API, or restore the approved isolated snapshot; confirm no residual locks, sessions, occupied tables or stock deltas.</t>
        </is>
      </c>
      <c r="P92" s="4" t="inlineStr">
        <is>
          <t>Yes</t>
        </is>
      </c>
      <c r="Q92" s="4" t="inlineStr">
        <is>
          <t>Timestamped screenshots for UI; request/response with secrets redacted for API; query IDs/counts/balances for transactions; export/build artifact or monitoring trace where applicable.</t>
        </is>
      </c>
      <c r="R92" s="4" t="inlineStr">
        <is>
          <t>Planned / Not Yet Executed</t>
        </is>
      </c>
      <c r="S92" s="4" t="inlineStr"/>
      <c r="T92" s="4" t="inlineStr"/>
      <c r="U92" s="4" t="inlineStr"/>
      <c r="V92" s="4" t="inlineStr"/>
      <c r="W92" s="4" t="inlineStr"/>
      <c r="X92" s="4" t="inlineStr"/>
    </row>
    <row r="93" ht="72" customHeight="1">
      <c r="A93" s="4" t="inlineStr">
        <is>
          <t>MENU-002</t>
        </is>
      </c>
      <c r="B93" s="4" t="inlineStr">
        <is>
          <t>Menu &amp; Categories</t>
        </is>
      </c>
      <c r="C93" s="4" t="inlineStr">
        <is>
          <t>FR-M01, FR-M02</t>
        </is>
      </c>
      <c r="D93" s="4" t="inlineStr">
        <is>
          <t>Duplicate or blank category data is rejected</t>
        </is>
      </c>
      <c r="E93" s="4" t="inlineStr">
        <is>
          <t>Verify, without assuming a pass result, that the release candidate correctly enforces: Duplicate or blank category data is rejected.</t>
        </is>
      </c>
      <c r="F93" s="4" t="inlineStr">
        <is>
          <t>Negative</t>
        </is>
      </c>
      <c r="G93" s="4" t="inlineStr">
        <is>
          <t>Medium</t>
        </is>
      </c>
      <c r="H93" s="4" t="inlineStr">
        <is>
          <t>Medium</t>
        </is>
      </c>
      <c r="I93" s="4" t="inlineStr">
        <is>
          <t>Manager account and synthetic category/item dataset exist.</t>
        </is>
      </c>
      <c r="J93" s="4" t="inlineStr">
        <is>
          <t>Use only named synthetic records from the Test Data Plan; capture generated IDs and baseline values in evidence. Never use real credentials, customer PII or secrets.</t>
        </is>
      </c>
      <c r="K93" s="4" t="inlineStr">
        <is>
          <t>Manager / Admin</t>
        </is>
      </c>
      <c r="L93" s="4" t="inlineStr">
        <is>
          <t>Restaurant A / Branch A1 unless the case explicitly tests another scope</t>
        </is>
      </c>
      <c r="M93" s="4" t="inlineStr">
        <is>
          <t>1. Sign in as Manager / Admin, or remain anonymous when the case requires it.
2. Record relevant UI, API and database baseline identifiers, statuses, counts and balances.
3. Use the documented page/API to verify that duplicate or blank category data is rejected.
4. Refresh or repeat through an independent client where concurrency, polling or idempotency applies.
5. Compare the outcome, scope, audit fields and side effects with the expected result; capture evidence.</t>
        </is>
      </c>
      <c r="N93" s="4" t="inlineStr">
        <is>
          <t>The operation is refused with a stable, safe error; no unauthorized or partial mutation occurs. Specifically: Duplicate or blank category data is rejected.</t>
        </is>
      </c>
      <c r="O93" s="4" t="inlineStr">
        <is>
          <t>Reverse only synthetic changes through supported UI/API, or restore the approved isolated snapshot; confirm no residual locks, sessions, occupied tables or stock deltas.</t>
        </is>
      </c>
      <c r="P93" s="4" t="inlineStr">
        <is>
          <t>Yes</t>
        </is>
      </c>
      <c r="Q93" s="4" t="inlineStr">
        <is>
          <t>Timestamped screenshots for UI; request/response with secrets redacted for API; query IDs/counts/balances for transactions; export/build artifact or monitoring trace where applicable.</t>
        </is>
      </c>
      <c r="R93" s="4" t="inlineStr">
        <is>
          <t>Planned / Not Yet Executed</t>
        </is>
      </c>
      <c r="S93" s="4" t="inlineStr"/>
      <c r="T93" s="4" t="inlineStr"/>
      <c r="U93" s="4" t="inlineStr"/>
      <c r="V93" s="4" t="inlineStr"/>
      <c r="W93" s="4" t="inlineStr"/>
      <c r="X93" s="4" t="inlineStr"/>
    </row>
    <row r="94" ht="72" customHeight="1">
      <c r="A94" s="4" t="inlineStr">
        <is>
          <t>MENU-003</t>
        </is>
      </c>
      <c r="B94" s="4" t="inlineStr">
        <is>
          <t>Menu &amp; Categories</t>
        </is>
      </c>
      <c r="C94" s="4" t="inlineStr">
        <is>
          <t>FR-M01, FR-M02</t>
        </is>
      </c>
      <c r="D94" s="4" t="inlineStr">
        <is>
          <t>Manager creates item with price description preparation time and availability</t>
        </is>
      </c>
      <c r="E94" s="4" t="inlineStr">
        <is>
          <t>Verify, without assuming a pass result, that the release candidate correctly enforces: Manager creates item with price description preparation time and availability.</t>
        </is>
      </c>
      <c r="F94" s="4" t="inlineStr">
        <is>
          <t>Positive</t>
        </is>
      </c>
      <c r="G94" s="4" t="inlineStr">
        <is>
          <t>Medium</t>
        </is>
      </c>
      <c r="H94" s="4" t="inlineStr">
        <is>
          <t>Medium</t>
        </is>
      </c>
      <c r="I94" s="4" t="inlineStr">
        <is>
          <t>Manager account and synthetic category/item dataset exist.</t>
        </is>
      </c>
      <c r="J94" s="4" t="inlineStr">
        <is>
          <t>Use only named synthetic records from the Test Data Plan; capture generated IDs and baseline values in evidence. Never use real credentials, customer PII or secrets.</t>
        </is>
      </c>
      <c r="K94" s="4" t="inlineStr">
        <is>
          <t>Manager / Admin</t>
        </is>
      </c>
      <c r="L94" s="4" t="inlineStr">
        <is>
          <t>Restaurant A / Branch A1 unless the case explicitly tests another scope</t>
        </is>
      </c>
      <c r="M94" s="4" t="inlineStr">
        <is>
          <t>1. Sign in as Manager / Admin, or remain anonymous when the case requires it.
2. Record relevant UI, API and database baseline identifiers, statuses, counts and balances.
3. Use the documented page/API to verify that manager creates item with price description preparation time and availability.
4. Refresh or repeat through an independent client where concurrency, polling or idempotency applies.
5. Compare the outcome, scope, audit fields and side effects with the expected result; capture evidence.</t>
        </is>
      </c>
      <c r="N94" s="4" t="inlineStr">
        <is>
          <t>The release candidate demonstrates the specified behavior exactly and only within the actor's authorized scope: Manager creates item with price description preparation time and availability. No unrelated record changes.</t>
        </is>
      </c>
      <c r="O94" s="4" t="inlineStr">
        <is>
          <t>Reverse only synthetic changes through supported UI/API, or restore the approved isolated snapshot; confirm no residual locks, sessions, occupied tables or stock deltas.</t>
        </is>
      </c>
      <c r="P94" s="4" t="inlineStr">
        <is>
          <t>Yes</t>
        </is>
      </c>
      <c r="Q94" s="4" t="inlineStr">
        <is>
          <t>Timestamped screenshots for UI; request/response with secrets redacted for API; query IDs/counts/balances for transactions; export/build artifact or monitoring trace where applicable.</t>
        </is>
      </c>
      <c r="R94" s="4" t="inlineStr">
        <is>
          <t>Planned / Not Yet Executed</t>
        </is>
      </c>
      <c r="S94" s="4" t="inlineStr"/>
      <c r="T94" s="4" t="inlineStr"/>
      <c r="U94" s="4" t="inlineStr"/>
      <c r="V94" s="4" t="inlineStr"/>
      <c r="W94" s="4" t="inlineStr"/>
      <c r="X94" s="4" t="inlineStr"/>
    </row>
    <row r="95" ht="72" customHeight="1">
      <c r="A95" s="4" t="inlineStr">
        <is>
          <t>MENU-004</t>
        </is>
      </c>
      <c r="B95" s="4" t="inlineStr">
        <is>
          <t>Menu &amp; Categories</t>
        </is>
      </c>
      <c r="C95" s="4" t="inlineStr">
        <is>
          <t>FR-M01, FR-M02</t>
        </is>
      </c>
      <c r="D95" s="4" t="inlineStr">
        <is>
          <t>Negative or over-precision menu price is rejected</t>
        </is>
      </c>
      <c r="E95" s="4" t="inlineStr">
        <is>
          <t>Verify, without assuming a pass result, that the release candidate correctly enforces: Negative or over-precision menu price is rejected.</t>
        </is>
      </c>
      <c r="F95" s="4" t="inlineStr">
        <is>
          <t>Negative</t>
        </is>
      </c>
      <c r="G95" s="4" t="inlineStr">
        <is>
          <t>Medium</t>
        </is>
      </c>
      <c r="H95" s="4" t="inlineStr">
        <is>
          <t>Medium</t>
        </is>
      </c>
      <c r="I95" s="4" t="inlineStr">
        <is>
          <t>Manager account and synthetic category/item dataset exist.</t>
        </is>
      </c>
      <c r="J95" s="4" t="inlineStr">
        <is>
          <t>Use only named synthetic records from the Test Data Plan; capture generated IDs and baseline values in evidence. Never use real credentials, customer PII or secrets.</t>
        </is>
      </c>
      <c r="K95" s="4" t="inlineStr">
        <is>
          <t>Manager / Admin</t>
        </is>
      </c>
      <c r="L95" s="4" t="inlineStr">
        <is>
          <t>Restaurant A / Branch A1 unless the case explicitly tests another scope</t>
        </is>
      </c>
      <c r="M95" s="4" t="inlineStr">
        <is>
          <t>1. Sign in as Manager / Admin, or remain anonymous when the case requires it.
2. Record relevant UI, API and database baseline identifiers, statuses, counts and balances.
3. Use the documented page/API to verify that negative or over-precision menu price is rejected.
4. Refresh or repeat through an independent client where concurrency, polling or idempotency applies.
5. Compare the outcome, scope, audit fields and side effects with the expected result; capture evidence.</t>
        </is>
      </c>
      <c r="N95" s="4" t="inlineStr">
        <is>
          <t>The operation is refused with a stable, safe error; no unauthorized or partial mutation occurs. Specifically: Negative or over-precision menu price is rejected.</t>
        </is>
      </c>
      <c r="O95" s="4" t="inlineStr">
        <is>
          <t>Reverse only synthetic changes through supported UI/API, or restore the approved isolated snapshot; confirm no residual locks, sessions, occupied tables or stock deltas.</t>
        </is>
      </c>
      <c r="P95" s="4" t="inlineStr">
        <is>
          <t>Yes</t>
        </is>
      </c>
      <c r="Q95" s="4" t="inlineStr">
        <is>
          <t>Timestamped screenshots for UI; request/response with secrets redacted for API; query IDs/counts/balances for transactions; export/build artifact or monitoring trace where applicable.</t>
        </is>
      </c>
      <c r="R95" s="4" t="inlineStr">
        <is>
          <t>Planned / Not Yet Executed</t>
        </is>
      </c>
      <c r="S95" s="4" t="inlineStr"/>
      <c r="T95" s="4" t="inlineStr"/>
      <c r="U95" s="4" t="inlineStr"/>
      <c r="V95" s="4" t="inlineStr"/>
      <c r="W95" s="4" t="inlineStr"/>
      <c r="X95" s="4" t="inlineStr"/>
    </row>
    <row r="96" ht="72" customHeight="1">
      <c r="A96" s="4" t="inlineStr">
        <is>
          <t>MENU-005</t>
        </is>
      </c>
      <c r="B96" s="4" t="inlineStr">
        <is>
          <t>Menu &amp; Categories</t>
        </is>
      </c>
      <c r="C96" s="4" t="inlineStr">
        <is>
          <t>FR-M01, FR-M02</t>
        </is>
      </c>
      <c r="D96" s="4" t="inlineStr">
        <is>
          <t>Unavailable item disappears from POS within freshness window</t>
        </is>
      </c>
      <c r="E96" s="4" t="inlineStr">
        <is>
          <t>Verify, without assuming a pass result, that the release candidate correctly enforces: Unavailable item disappears from POS within freshness window.</t>
        </is>
      </c>
      <c r="F96" s="4" t="inlineStr">
        <is>
          <t>Negative</t>
        </is>
      </c>
      <c r="G96" s="4" t="inlineStr">
        <is>
          <t>Medium</t>
        </is>
      </c>
      <c r="H96" s="4" t="inlineStr">
        <is>
          <t>Medium</t>
        </is>
      </c>
      <c r="I96" s="4" t="inlineStr">
        <is>
          <t>Manager account and synthetic category/item dataset exist.</t>
        </is>
      </c>
      <c r="J96" s="4" t="inlineStr">
        <is>
          <t>Use only named synthetic records from the Test Data Plan; capture generated IDs and baseline values in evidence. Never use real credentials, customer PII or secrets.</t>
        </is>
      </c>
      <c r="K96" s="4" t="inlineStr">
        <is>
          <t>Manager / Admin</t>
        </is>
      </c>
      <c r="L96" s="4" t="inlineStr">
        <is>
          <t>Restaurant A / Branch A1 unless the case explicitly tests another scope</t>
        </is>
      </c>
      <c r="M96" s="4" t="inlineStr">
        <is>
          <t>1. Sign in as Manager / Admin, or remain anonymous when the case requires it.
2. Record relevant UI, API and database baseline identifiers, statuses, counts and balances.
3. Use the documented page/API to verify that unavailable item disappears from POS within freshness window.
4. Refresh or repeat through an independent client where concurrency, polling or idempotency applies.
5. Compare the outcome, scope, audit fields and side effects with the expected result; capture evidence.</t>
        </is>
      </c>
      <c r="N96" s="4" t="inlineStr">
        <is>
          <t>The release candidate demonstrates the specified behavior exactly and only within the actor's authorized scope: Unavailable item disappears from POS within freshness window. No unrelated record changes.</t>
        </is>
      </c>
      <c r="O96" s="4" t="inlineStr">
        <is>
          <t>Reverse only synthetic changes through supported UI/API, or restore the approved isolated snapshot; confirm no residual locks, sessions, occupied tables or stock deltas.</t>
        </is>
      </c>
      <c r="P96" s="4" t="inlineStr">
        <is>
          <t>Yes</t>
        </is>
      </c>
      <c r="Q96" s="4" t="inlineStr">
        <is>
          <t>Timestamped screenshots for UI; request/response with secrets redacted for API; query IDs/counts/balances for transactions; export/build artifact or monitoring trace where applicable.</t>
        </is>
      </c>
      <c r="R96" s="4" t="inlineStr">
        <is>
          <t>Planned / Not Yet Executed</t>
        </is>
      </c>
      <c r="S96" s="4" t="inlineStr"/>
      <c r="T96" s="4" t="inlineStr"/>
      <c r="U96" s="4" t="inlineStr"/>
      <c r="V96" s="4" t="inlineStr"/>
      <c r="W96" s="4" t="inlineStr"/>
      <c r="X96" s="4" t="inlineStr"/>
    </row>
    <row r="97" ht="72" customHeight="1">
      <c r="A97" s="4" t="inlineStr">
        <is>
          <t>MENU-006</t>
        </is>
      </c>
      <c r="B97" s="4" t="inlineStr">
        <is>
          <t>Menu &amp; Categories</t>
        </is>
      </c>
      <c r="C97" s="4" t="inlineStr">
        <is>
          <t>FR-M01, FR-M02</t>
        </is>
      </c>
      <c r="D97" s="4" t="inlineStr">
        <is>
          <t>Unauthorized role cannot mutate categories or menu items</t>
        </is>
      </c>
      <c r="E97" s="4" t="inlineStr">
        <is>
          <t>Verify, without assuming a pass result, that the release candidate correctly enforces: Unauthorized role cannot mutate categories or menu items.</t>
        </is>
      </c>
      <c r="F97" s="4" t="inlineStr">
        <is>
          <t>Negative</t>
        </is>
      </c>
      <c r="G97" s="4" t="inlineStr">
        <is>
          <t>Medium</t>
        </is>
      </c>
      <c r="H97" s="4" t="inlineStr">
        <is>
          <t>Medium</t>
        </is>
      </c>
      <c r="I97" s="4" t="inlineStr">
        <is>
          <t>Manager account and synthetic category/item dataset exist.</t>
        </is>
      </c>
      <c r="J97" s="4" t="inlineStr">
        <is>
          <t>Use only named synthetic records from the Test Data Plan; capture generated IDs and baseline values in evidence. Never use real credentials, customer PII or secrets.</t>
        </is>
      </c>
      <c r="K97" s="4" t="inlineStr">
        <is>
          <t>Manager / Admin</t>
        </is>
      </c>
      <c r="L97" s="4" t="inlineStr">
        <is>
          <t>Restaurant A / Branch A1 unless the case explicitly tests another scope</t>
        </is>
      </c>
      <c r="M97" s="4" t="inlineStr">
        <is>
          <t>1. Sign in as Manager / Admin, or remain anonymous when the case requires it.
2. Record relevant UI, API and database baseline identifiers, statuses, counts and balances.
3. Use the documented page/API to verify that unauthorized role cannot mutate categories or menu items.
4. Refresh or repeat through an independent client where concurrency, polling or idempotency applies.
5. Compare the outcome, scope, audit fields and side effects with the expected result; capture evidence.</t>
        </is>
      </c>
      <c r="N97" s="4" t="inlineStr">
        <is>
          <t>The operation is refused with a stable, safe error; no unauthorized or partial mutation occurs. Specifically: Unauthorized role cannot mutate categories or menu items.</t>
        </is>
      </c>
      <c r="O97" s="4" t="inlineStr">
        <is>
          <t>Reverse only synthetic changes through supported UI/API, or restore the approved isolated snapshot; confirm no residual locks, sessions, occupied tables or stock deltas.</t>
        </is>
      </c>
      <c r="P97" s="4" t="inlineStr">
        <is>
          <t>Yes</t>
        </is>
      </c>
      <c r="Q97" s="4" t="inlineStr">
        <is>
          <t>Timestamped screenshots for UI; request/response with secrets redacted for API; query IDs/counts/balances for transactions; export/build artifact or monitoring trace where applicable.</t>
        </is>
      </c>
      <c r="R97" s="4" t="inlineStr">
        <is>
          <t>Planned / Not Yet Executed</t>
        </is>
      </c>
      <c r="S97" s="4" t="inlineStr"/>
      <c r="T97" s="4" t="inlineStr"/>
      <c r="U97" s="4" t="inlineStr"/>
      <c r="V97" s="4" t="inlineStr"/>
      <c r="W97" s="4" t="inlineStr"/>
      <c r="X97" s="4" t="inlineStr"/>
    </row>
    <row r="98" ht="72" customHeight="1">
      <c r="A98" s="4" t="inlineStr">
        <is>
          <t>TABLE-001</t>
        </is>
      </c>
      <c r="B98" s="4" t="inlineStr">
        <is>
          <t>Tables</t>
        </is>
      </c>
      <c r="C98" s="4" t="inlineStr">
        <is>
          <t>FR-S03, FR-P02</t>
        </is>
      </c>
      <c r="D98" s="4" t="inlineStr">
        <is>
          <t>Manager creates and edits table number capacity and section</t>
        </is>
      </c>
      <c r="E98" s="4" t="inlineStr">
        <is>
          <t>Verify, without assuming a pass result, that the release candidate correctly enforces: Manager creates and edits table number capacity and section.</t>
        </is>
      </c>
      <c r="F98" s="4" t="inlineStr">
        <is>
          <t>Positive</t>
        </is>
      </c>
      <c r="G98" s="4" t="inlineStr">
        <is>
          <t>Medium</t>
        </is>
      </c>
      <c r="H98" s="4" t="inlineStr">
        <is>
          <t>Medium</t>
        </is>
      </c>
      <c r="I98" s="4" t="inlineStr">
        <is>
          <t>Manager account and synthetic available/occupied tables exist.</t>
        </is>
      </c>
      <c r="J98" s="4" t="inlineStr">
        <is>
          <t>Use only named synthetic records from the Test Data Plan; capture generated IDs and baseline values in evidence. Never use real credentials, customer PII or secrets.</t>
        </is>
      </c>
      <c r="K98" s="4" t="inlineStr">
        <is>
          <t>Manager / Waiter / Cashier</t>
        </is>
      </c>
      <c r="L98" s="4" t="inlineStr">
        <is>
          <t>Restaurant A / Branch A1 unless the case explicitly tests another scope</t>
        </is>
      </c>
      <c r="M98" s="4" t="inlineStr">
        <is>
          <t>1. Sign in as Manager / Waiter / Cashier, or remain anonymous when the case requires it.
2. Record relevant UI, API and database baseline identifiers, statuses, counts and balances.
3. Use the documented page/API to verify that manager creates and edits table number capacity and section.
4. Refresh or repeat through an independent client where concurrency, polling or idempotency applies.
5. Compare the outcome, scope, audit fields and side effects with the expected result; capture evidence.</t>
        </is>
      </c>
      <c r="N98" s="4" t="inlineStr">
        <is>
          <t>The release candidate demonstrates the specified behavior exactly and only within the actor's authorized scope: Manager creates and edits table number capacity and section. No unrelated record changes.</t>
        </is>
      </c>
      <c r="O98" s="4" t="inlineStr">
        <is>
          <t>Reverse only synthetic changes through supported UI/API, or restore the approved isolated snapshot; confirm no residual locks, sessions, occupied tables or stock deltas.</t>
        </is>
      </c>
      <c r="P98" s="4" t="inlineStr">
        <is>
          <t>Yes</t>
        </is>
      </c>
      <c r="Q98" s="4" t="inlineStr">
        <is>
          <t>Timestamped screenshots for UI; request/response with secrets redacted for API; query IDs/counts/balances for transactions; export/build artifact or monitoring trace where applicable.</t>
        </is>
      </c>
      <c r="R98" s="4" t="inlineStr">
        <is>
          <t>Planned / Not Yet Executed</t>
        </is>
      </c>
      <c r="S98" s="4" t="inlineStr"/>
      <c r="T98" s="4" t="inlineStr"/>
      <c r="U98" s="4" t="inlineStr"/>
      <c r="V98" s="4" t="inlineStr"/>
      <c r="W98" s="4" t="inlineStr"/>
      <c r="X98" s="4" t="inlineStr"/>
    </row>
    <row r="99" ht="72" customHeight="1">
      <c r="A99" s="4" t="inlineStr">
        <is>
          <t>TABLE-002</t>
        </is>
      </c>
      <c r="B99" s="4" t="inlineStr">
        <is>
          <t>Tables</t>
        </is>
      </c>
      <c r="C99" s="4" t="inlineStr">
        <is>
          <t>FR-S03, FR-P02</t>
        </is>
      </c>
      <c r="D99" s="4" t="inlineStr">
        <is>
          <t>Duplicate table number in the same branch is rejected</t>
        </is>
      </c>
      <c r="E99" s="4" t="inlineStr">
        <is>
          <t>Verify, without assuming a pass result, that the release candidate correctly enforces: Duplicate table number in the same branch is rejected.</t>
        </is>
      </c>
      <c r="F99" s="4" t="inlineStr">
        <is>
          <t>Negative</t>
        </is>
      </c>
      <c r="G99" s="4" t="inlineStr">
        <is>
          <t>Medium</t>
        </is>
      </c>
      <c r="H99" s="4" t="inlineStr">
        <is>
          <t>Medium</t>
        </is>
      </c>
      <c r="I99" s="4" t="inlineStr">
        <is>
          <t>Manager account and synthetic available/occupied tables exist.</t>
        </is>
      </c>
      <c r="J99" s="4" t="inlineStr">
        <is>
          <t>Use only named synthetic records from the Test Data Plan; capture generated IDs and baseline values in evidence. Never use real credentials, customer PII or secrets.</t>
        </is>
      </c>
      <c r="K99" s="4" t="inlineStr">
        <is>
          <t>Manager / Waiter / Cashier</t>
        </is>
      </c>
      <c r="L99" s="4" t="inlineStr">
        <is>
          <t>Restaurant A / Branch A1 unless the case explicitly tests another scope</t>
        </is>
      </c>
      <c r="M99" s="4" t="inlineStr">
        <is>
          <t>1. Sign in as Manager / Waiter / Cashier, or remain anonymous when the case requires it.
2. Record relevant UI, API and database baseline identifiers, statuses, counts and balances.
3. Use the documented page/API to verify that duplicate table number in the same branch is rejected.
4. Refresh or repeat through an independent client where concurrency, polling or idempotency applies.
5. Compare the outcome, scope, audit fields and side effects with the expected result; capture evidence.</t>
        </is>
      </c>
      <c r="N99" s="4" t="inlineStr">
        <is>
          <t>The operation is refused with a stable, safe error; no unauthorized or partial mutation occurs. Specifically: Duplicate table number in the same branch is rejected.</t>
        </is>
      </c>
      <c r="O99" s="4" t="inlineStr">
        <is>
          <t>Reverse only synthetic changes through supported UI/API, or restore the approved isolated snapshot; confirm no residual locks, sessions, occupied tables or stock deltas.</t>
        </is>
      </c>
      <c r="P99" s="4" t="inlineStr">
        <is>
          <t>Yes</t>
        </is>
      </c>
      <c r="Q99" s="4" t="inlineStr">
        <is>
          <t>Timestamped screenshots for UI; request/response with secrets redacted for API; query IDs/counts/balances for transactions; export/build artifact or monitoring trace where applicable.</t>
        </is>
      </c>
      <c r="R99" s="4" t="inlineStr">
        <is>
          <t>Planned / Not Yet Executed</t>
        </is>
      </c>
      <c r="S99" s="4" t="inlineStr"/>
      <c r="T99" s="4" t="inlineStr"/>
      <c r="U99" s="4" t="inlineStr"/>
      <c r="V99" s="4" t="inlineStr"/>
      <c r="W99" s="4" t="inlineStr"/>
      <c r="X99" s="4" t="inlineStr"/>
    </row>
    <row r="100" ht="72" customHeight="1">
      <c r="A100" s="4" t="inlineStr">
        <is>
          <t>TABLE-003</t>
        </is>
      </c>
      <c r="B100" s="4" t="inlineStr">
        <is>
          <t>Tables</t>
        </is>
      </c>
      <c r="C100" s="4" t="inlineStr">
        <is>
          <t>FR-S03, FR-P02</t>
        </is>
      </c>
      <c r="D100" s="4" t="inlineStr">
        <is>
          <t>Invalid zero or negative capacity is rejected</t>
        </is>
      </c>
      <c r="E100" s="4" t="inlineStr">
        <is>
          <t>Verify, without assuming a pass result, that the release candidate correctly enforces: Invalid zero or negative capacity is rejected.</t>
        </is>
      </c>
      <c r="F100" s="4" t="inlineStr">
        <is>
          <t>Negative</t>
        </is>
      </c>
      <c r="G100" s="4" t="inlineStr">
        <is>
          <t>Medium</t>
        </is>
      </c>
      <c r="H100" s="4" t="inlineStr">
        <is>
          <t>Medium</t>
        </is>
      </c>
      <c r="I100" s="4" t="inlineStr">
        <is>
          <t>Manager account and synthetic available/occupied tables exist.</t>
        </is>
      </c>
      <c r="J100" s="4" t="inlineStr">
        <is>
          <t>Use only named synthetic records from the Test Data Plan; capture generated IDs and baseline values in evidence. Never use real credentials, customer PII or secrets.</t>
        </is>
      </c>
      <c r="K100" s="4" t="inlineStr">
        <is>
          <t>Manager / Waiter / Cashier</t>
        </is>
      </c>
      <c r="L100" s="4" t="inlineStr">
        <is>
          <t>Restaurant A / Branch A1 unless the case explicitly tests another scope</t>
        </is>
      </c>
      <c r="M100" s="4" t="inlineStr">
        <is>
          <t>1. Sign in as Manager / Waiter / Cashier, or remain anonymous when the case requires it.
2. Record relevant UI, API and database baseline identifiers, statuses, counts and balances.
3. Use the documented page/API to verify that invalid zero or negative capacity is rejected.
4. Refresh or repeat through an independent client where concurrency, polling or idempotency applies.
5. Compare the outcome, scope, audit fields and side effects with the expected result; capture evidence.</t>
        </is>
      </c>
      <c r="N100" s="4" t="inlineStr">
        <is>
          <t>The operation is refused with a stable, safe error; no unauthorized or partial mutation occurs. Specifically: Invalid zero or negative capacity is rejected.</t>
        </is>
      </c>
      <c r="O100" s="4" t="inlineStr">
        <is>
          <t>Reverse only synthetic changes through supported UI/API, or restore the approved isolated snapshot; confirm no residual locks, sessions, occupied tables or stock deltas.</t>
        </is>
      </c>
      <c r="P100" s="4" t="inlineStr">
        <is>
          <t>Yes</t>
        </is>
      </c>
      <c r="Q100" s="4" t="inlineStr">
        <is>
          <t>Timestamped screenshots for UI; request/response with secrets redacted for API; query IDs/counts/balances for transactions; export/build artifact or monitoring trace where applicable.</t>
        </is>
      </c>
      <c r="R100" s="4" t="inlineStr">
        <is>
          <t>Planned / Not Yet Executed</t>
        </is>
      </c>
      <c r="S100" s="4" t="inlineStr"/>
      <c r="T100" s="4" t="inlineStr"/>
      <c r="U100" s="4" t="inlineStr"/>
      <c r="V100" s="4" t="inlineStr"/>
      <c r="W100" s="4" t="inlineStr"/>
      <c r="X100" s="4" t="inlineStr"/>
    </row>
    <row r="101" ht="72" customHeight="1">
      <c r="A101" s="4" t="inlineStr">
        <is>
          <t>TABLE-004</t>
        </is>
      </c>
      <c r="B101" s="4" t="inlineStr">
        <is>
          <t>Tables</t>
        </is>
      </c>
      <c r="C101" s="4" t="inlineStr">
        <is>
          <t>FR-S03, FR-P02</t>
        </is>
      </c>
      <c r="D101" s="4" t="inlineStr">
        <is>
          <t>Table occupancy follows active dine-in order</t>
        </is>
      </c>
      <c r="E101" s="4" t="inlineStr">
        <is>
          <t>Verify, without assuming a pass result, that the release candidate correctly enforces: Table occupancy follows active dine-in order.</t>
        </is>
      </c>
      <c r="F101" s="4" t="inlineStr">
        <is>
          <t>Positive</t>
        </is>
      </c>
      <c r="G101" s="4" t="inlineStr">
        <is>
          <t>High</t>
        </is>
      </c>
      <c r="H101" s="4" t="inlineStr">
        <is>
          <t>High</t>
        </is>
      </c>
      <c r="I101" s="4" t="inlineStr">
        <is>
          <t>Manager account and synthetic available/occupied tables exist.</t>
        </is>
      </c>
      <c r="J101" s="4" t="inlineStr">
        <is>
          <t>Use only named synthetic records from the Test Data Plan; capture generated IDs and baseline values in evidence. Never use real credentials, customer PII or secrets.</t>
        </is>
      </c>
      <c r="K101" s="4" t="inlineStr">
        <is>
          <t>Manager / Waiter / Cashier</t>
        </is>
      </c>
      <c r="L101" s="4" t="inlineStr">
        <is>
          <t>Restaurant A / Branch A1 unless the case explicitly tests another scope</t>
        </is>
      </c>
      <c r="M101" s="4" t="inlineStr">
        <is>
          <t>1. Sign in as Manager / Waiter / Cashier, or remain anonymous when the case requires it.
2. Record relevant UI, API and database baseline identifiers, statuses, counts and balances.
3. Use the documented page/API to verify that table occupancy follows active dine-in order.
4. Refresh or repeat through an independent client where concurrency, polling or idempotency applies.
5. Compare the outcome, scope, audit fields and side effects with the expected result; capture evidence.</t>
        </is>
      </c>
      <c r="N101" s="4" t="inlineStr">
        <is>
          <t>The release candidate demonstrates the specified behavior exactly and only within the actor's authorized scope: Table occupancy follows active dine-in order. No unrelated record changes.</t>
        </is>
      </c>
      <c r="O101" s="4" t="inlineStr">
        <is>
          <t>Reverse only synthetic changes through supported UI/API, or restore the approved isolated snapshot; confirm no residual locks, sessions, occupied tables or stock deltas.</t>
        </is>
      </c>
      <c r="P101" s="4" t="inlineStr">
        <is>
          <t>Yes</t>
        </is>
      </c>
      <c r="Q101" s="4" t="inlineStr">
        <is>
          <t>Timestamped screenshots for UI; request/response with secrets redacted for API; query IDs/counts/balances for transactions; export/build artifact or monitoring trace where applicable.</t>
        </is>
      </c>
      <c r="R101" s="4" t="inlineStr">
        <is>
          <t>Planned / Not Yet Executed</t>
        </is>
      </c>
      <c r="S101" s="4" t="inlineStr"/>
      <c r="T101" s="4" t="inlineStr"/>
      <c r="U101" s="4" t="inlineStr"/>
      <c r="V101" s="4" t="inlineStr"/>
      <c r="W101" s="4" t="inlineStr"/>
      <c r="X101" s="4" t="inlineStr"/>
    </row>
    <row r="102" ht="72" customHeight="1">
      <c r="A102" s="4" t="inlineStr">
        <is>
          <t>TABLE-005</t>
        </is>
      </c>
      <c r="B102" s="4" t="inlineStr">
        <is>
          <t>Tables</t>
        </is>
      </c>
      <c r="C102" s="4" t="inlineStr">
        <is>
          <t>FR-S03, FR-P02</t>
        </is>
      </c>
      <c r="D102" s="4" t="inlineStr">
        <is>
          <t>Paid order releases only its own table</t>
        </is>
      </c>
      <c r="E102" s="4" t="inlineStr">
        <is>
          <t>Verify, without assuming a pass result, that the release candidate correctly enforces: Paid order releases only its own table.</t>
        </is>
      </c>
      <c r="F102" s="4" t="inlineStr">
        <is>
          <t>Authorization</t>
        </is>
      </c>
      <c r="G102" s="4" t="inlineStr">
        <is>
          <t>High</t>
        </is>
      </c>
      <c r="H102" s="4" t="inlineStr">
        <is>
          <t>High</t>
        </is>
      </c>
      <c r="I102" s="4" t="inlineStr">
        <is>
          <t>Manager account and synthetic available/occupied tables exist.</t>
        </is>
      </c>
      <c r="J102" s="4" t="inlineStr">
        <is>
          <t>Use only named synthetic records from the Test Data Plan; capture generated IDs and baseline values in evidence. Never use real credentials, customer PII or secrets.</t>
        </is>
      </c>
      <c r="K102" s="4" t="inlineStr">
        <is>
          <t>Manager / Waiter / Cashier</t>
        </is>
      </c>
      <c r="L102" s="4" t="inlineStr">
        <is>
          <t>Restaurant A / Branch A1 unless the case explicitly tests another scope</t>
        </is>
      </c>
      <c r="M102" s="4" t="inlineStr">
        <is>
          <t>1. Sign in as Manager / Waiter / Cashier, or remain anonymous when the case requires it.
2. Record relevant UI, API and database baseline identifiers, statuses, counts and balances.
3. Use the documented page/API to verify that paid order releases only its own table.
4. Refresh or repeat through an independent client where concurrency, polling or idempotency applies.
5. Compare the outcome, scope, audit fields and side effects with the expected result; capture evidence.</t>
        </is>
      </c>
      <c r="N102" s="4" t="inlineStr">
        <is>
          <t>The release candidate demonstrates the specified behavior exactly and only within the actor's authorized scope: Paid order releases only its own table. No unrelated record changes.</t>
        </is>
      </c>
      <c r="O102" s="4" t="inlineStr">
        <is>
          <t>Reverse only synthetic changes through supported UI/API, or restore the approved isolated snapshot; confirm no residual locks, sessions, occupied tables or stock deltas.</t>
        </is>
      </c>
      <c r="P102" s="4" t="inlineStr">
        <is>
          <t>Yes</t>
        </is>
      </c>
      <c r="Q102" s="4" t="inlineStr">
        <is>
          <t>Timestamped screenshots for UI; request/response with secrets redacted for API; query IDs/counts/balances for transactions; export/build artifact or monitoring trace where applicable.</t>
        </is>
      </c>
      <c r="R102" s="4" t="inlineStr">
        <is>
          <t>Planned / Not Yet Executed</t>
        </is>
      </c>
      <c r="S102" s="4" t="inlineStr"/>
      <c r="T102" s="4" t="inlineStr"/>
      <c r="U102" s="4" t="inlineStr"/>
      <c r="V102" s="4" t="inlineStr"/>
      <c r="W102" s="4" t="inlineStr"/>
      <c r="X102" s="4" t="inlineStr"/>
    </row>
    <row r="103" ht="72" customHeight="1">
      <c r="A103" s="4" t="inlineStr">
        <is>
          <t>TABLE-006</t>
        </is>
      </c>
      <c r="B103" s="4" t="inlineStr">
        <is>
          <t>Tables</t>
        </is>
      </c>
      <c r="C103" s="4" t="inlineStr">
        <is>
          <t>FR-S03, FR-P02</t>
        </is>
      </c>
      <c r="D103" s="4" t="inlineStr">
        <is>
          <t>Cross-branch and unauthorized table changes are denied</t>
        </is>
      </c>
      <c r="E103" s="4" t="inlineStr">
        <is>
          <t>Verify, without assuming a pass result, that the release candidate correctly enforces: Cross-branch and unauthorized table changes are denied.</t>
        </is>
      </c>
      <c r="F103" s="4" t="inlineStr">
        <is>
          <t>Negative</t>
        </is>
      </c>
      <c r="G103" s="4" t="inlineStr">
        <is>
          <t>Medium</t>
        </is>
      </c>
      <c r="H103" s="4" t="inlineStr">
        <is>
          <t>Medium</t>
        </is>
      </c>
      <c r="I103" s="4" t="inlineStr">
        <is>
          <t>Manager account and synthetic available/occupied tables exist.</t>
        </is>
      </c>
      <c r="J103" s="4" t="inlineStr">
        <is>
          <t>Use only named synthetic records from the Test Data Plan; capture generated IDs and baseline values in evidence. Never use real credentials, customer PII or secrets.</t>
        </is>
      </c>
      <c r="K103" s="4" t="inlineStr">
        <is>
          <t>Manager / Waiter / Cashier</t>
        </is>
      </c>
      <c r="L103" s="4" t="inlineStr">
        <is>
          <t>Restaurant A / Branch A1 unless the case explicitly tests another scope</t>
        </is>
      </c>
      <c r="M103" s="4" t="inlineStr">
        <is>
          <t>1. Sign in as Manager / Waiter / Cashier, or remain anonymous when the case requires it.
2. Record relevant UI, API and database baseline identifiers, statuses, counts and balances.
3. Use the documented page/API to verify that cross-branch and unauthorized table changes are denied.
4. Refresh or repeat through an independent client where concurrency, polling or idempotency applies.
5. Compare the outcome, scope, audit fields and side effects with the expected result; capture evidence.</t>
        </is>
      </c>
      <c r="N103" s="4" t="inlineStr">
        <is>
          <t>The operation is refused with a stable, safe error; no unauthorized or partial mutation occurs. Specifically: Cross-branch and unauthorized table changes are denied.</t>
        </is>
      </c>
      <c r="O103" s="4" t="inlineStr">
        <is>
          <t>Reverse only synthetic changes through supported UI/API, or restore the approved isolated snapshot; confirm no residual locks, sessions, occupied tables or stock deltas.</t>
        </is>
      </c>
      <c r="P103" s="4" t="inlineStr">
        <is>
          <t>Yes</t>
        </is>
      </c>
      <c r="Q103" s="4" t="inlineStr">
        <is>
          <t>Timestamped screenshots for UI; request/response with secrets redacted for API; query IDs/counts/balances for transactions; export/build artifact or monitoring trace where applicable.</t>
        </is>
      </c>
      <c r="R103" s="4" t="inlineStr">
        <is>
          <t>Planned / Not Yet Executed</t>
        </is>
      </c>
      <c r="S103" s="4" t="inlineStr"/>
      <c r="T103" s="4" t="inlineStr"/>
      <c r="U103" s="4" t="inlineStr"/>
      <c r="V103" s="4" t="inlineStr"/>
      <c r="W103" s="4" t="inlineStr"/>
      <c r="X103" s="4" t="inlineStr"/>
    </row>
    <row r="104" ht="72" customHeight="1">
      <c r="A104" s="4" t="inlineStr">
        <is>
          <t>STAFF-001</t>
        </is>
      </c>
      <c r="B104" s="4" t="inlineStr">
        <is>
          <t>Staff &amp; Branches</t>
        </is>
      </c>
      <c r="C104" s="4" t="inlineStr">
        <is>
          <t>FR-S01, FR-S02, FR-A04</t>
        </is>
      </c>
      <c r="D104" s="4" t="inlineStr">
        <is>
          <t>Authorized manager creates an active branch staff account</t>
        </is>
      </c>
      <c r="E104" s="4" t="inlineStr">
        <is>
          <t>Verify, without assuming a pass result, that the release candidate correctly enforces: Authorized manager creates an active branch staff account.</t>
        </is>
      </c>
      <c r="F104" s="4" t="inlineStr">
        <is>
          <t>Positive</t>
        </is>
      </c>
      <c r="G104" s="4" t="inlineStr">
        <is>
          <t>Medium</t>
        </is>
      </c>
      <c r="H104" s="4" t="inlineStr">
        <is>
          <t>Medium</t>
        </is>
      </c>
      <c r="I104" s="4" t="inlineStr">
        <is>
          <t>Authorized manager/admin and isolated restaurant hierarchy exist.</t>
        </is>
      </c>
      <c r="J104" s="4" t="inlineStr">
        <is>
          <t>Use only named synthetic records from the Test Data Plan; capture generated IDs and baseline values in evidence. Never use real credentials, customer PII or secrets.</t>
        </is>
      </c>
      <c r="K104" s="4" t="inlineStr">
        <is>
          <t>Admin / Owner / Manager</t>
        </is>
      </c>
      <c r="L104" s="4" t="inlineStr">
        <is>
          <t>Restaurant A / Branch A1 unless the case explicitly tests another scope</t>
        </is>
      </c>
      <c r="M104" s="4" t="inlineStr">
        <is>
          <t>1. Sign in as Admin / Owner / Manager, or remain anonymous when the case requires it.
2. Record relevant UI, API and database baseline identifiers, statuses, counts and balances.
3. Use the documented page/API to verify that authorized manager creates an active branch staff account.
4. Refresh or repeat through an independent client where concurrency, polling or idempotency applies.
5. Compare the outcome, scope, audit fields and side effects with the expected result; capture evidence.</t>
        </is>
      </c>
      <c r="N104" s="4" t="inlineStr">
        <is>
          <t>The release candidate demonstrates the specified behavior exactly and only within the actor's authorized scope: Authorized manager creates an active branch staff account. No unrelated record changes.</t>
        </is>
      </c>
      <c r="O104" s="4" t="inlineStr">
        <is>
          <t>Reverse only synthetic changes through supported UI/API, or restore the approved isolated snapshot; confirm no residual locks, sessions, occupied tables or stock deltas.</t>
        </is>
      </c>
      <c r="P104" s="4" t="inlineStr">
        <is>
          <t>Yes</t>
        </is>
      </c>
      <c r="Q104" s="4" t="inlineStr">
        <is>
          <t>Timestamped screenshots for UI; request/response with secrets redacted for API; query IDs/counts/balances for transactions; export/build artifact or monitoring trace where applicable.</t>
        </is>
      </c>
      <c r="R104" s="4" t="inlineStr">
        <is>
          <t>Planned / Not Yet Executed</t>
        </is>
      </c>
      <c r="S104" s="4" t="inlineStr"/>
      <c r="T104" s="4" t="inlineStr"/>
      <c r="U104" s="4" t="inlineStr"/>
      <c r="V104" s="4" t="inlineStr"/>
      <c r="W104" s="4" t="inlineStr"/>
      <c r="X104" s="4" t="inlineStr"/>
    </row>
    <row r="105" ht="72" customHeight="1">
      <c r="A105" s="4" t="inlineStr">
        <is>
          <t>STAFF-002</t>
        </is>
      </c>
      <c r="B105" s="4" t="inlineStr">
        <is>
          <t>Staff &amp; Branches</t>
        </is>
      </c>
      <c r="C105" s="4" t="inlineStr">
        <is>
          <t>FR-S01, FR-S02, FR-A04</t>
        </is>
      </c>
      <c r="D105" s="4" t="inlineStr">
        <is>
          <t>Duplicate email is rejected case-insensitively</t>
        </is>
      </c>
      <c r="E105" s="4" t="inlineStr">
        <is>
          <t>Verify, without assuming a pass result, that the release candidate correctly enforces: Duplicate email is rejected case-insensitively.</t>
        </is>
      </c>
      <c r="F105" s="4" t="inlineStr">
        <is>
          <t>Negative</t>
        </is>
      </c>
      <c r="G105" s="4" t="inlineStr">
        <is>
          <t>Medium</t>
        </is>
      </c>
      <c r="H105" s="4" t="inlineStr">
        <is>
          <t>Medium</t>
        </is>
      </c>
      <c r="I105" s="4" t="inlineStr">
        <is>
          <t>Authorized manager/admin and isolated restaurant hierarchy exist.</t>
        </is>
      </c>
      <c r="J105" s="4" t="inlineStr">
        <is>
          <t>Use only named synthetic records from the Test Data Plan; capture generated IDs and baseline values in evidence. Never use real credentials, customer PII or secrets.</t>
        </is>
      </c>
      <c r="K105" s="4" t="inlineStr">
        <is>
          <t>Admin / Owner / Manager</t>
        </is>
      </c>
      <c r="L105" s="4" t="inlineStr">
        <is>
          <t>Restaurant A / Branch A1 unless the case explicitly tests another scope</t>
        </is>
      </c>
      <c r="M105" s="4" t="inlineStr">
        <is>
          <t>1. Sign in as Admin / Owner / Manager, or remain anonymous when the case requires it.
2. Record relevant UI, API and database baseline identifiers, statuses, counts and balances.
3. Use the documented page/API to verify that duplicate email is rejected case-insensitively.
4. Refresh or repeat through an independent client where concurrency, polling or idempotency applies.
5. Compare the outcome, scope, audit fields and side effects with the expected result; capture evidence.</t>
        </is>
      </c>
      <c r="N105" s="4" t="inlineStr">
        <is>
          <t>The operation is refused with a stable, safe error; no unauthorized or partial mutation occurs. Specifically: Duplicate email is rejected case-insensitively.</t>
        </is>
      </c>
      <c r="O105" s="4" t="inlineStr">
        <is>
          <t>Reverse only synthetic changes through supported UI/API, or restore the approved isolated snapshot; confirm no residual locks, sessions, occupied tables or stock deltas.</t>
        </is>
      </c>
      <c r="P105" s="4" t="inlineStr">
        <is>
          <t>Yes</t>
        </is>
      </c>
      <c r="Q105" s="4" t="inlineStr">
        <is>
          <t>Timestamped screenshots for UI; request/response with secrets redacted for API; query IDs/counts/balances for transactions; export/build artifact or monitoring trace where applicable.</t>
        </is>
      </c>
      <c r="R105" s="4" t="inlineStr">
        <is>
          <t>Planned / Not Yet Executed</t>
        </is>
      </c>
      <c r="S105" s="4" t="inlineStr"/>
      <c r="T105" s="4" t="inlineStr"/>
      <c r="U105" s="4" t="inlineStr"/>
      <c r="V105" s="4" t="inlineStr"/>
      <c r="W105" s="4" t="inlineStr"/>
      <c r="X105" s="4" t="inlineStr"/>
    </row>
    <row r="106" ht="72" customHeight="1">
      <c r="A106" s="4" t="inlineStr">
        <is>
          <t>STAFF-003</t>
        </is>
      </c>
      <c r="B106" s="4" t="inlineStr">
        <is>
          <t>Staff &amp; Branches</t>
        </is>
      </c>
      <c r="C106" s="4" t="inlineStr">
        <is>
          <t>FR-S01, FR-S02, FR-A04</t>
        </is>
      </c>
      <c r="D106" s="4" t="inlineStr">
        <is>
          <t>Role and branch assignment combinations are validated</t>
        </is>
      </c>
      <c r="E106" s="4" t="inlineStr">
        <is>
          <t>Verify, without assuming a pass result, that the release candidate correctly enforces: Role and branch assignment combinations are validated.</t>
        </is>
      </c>
      <c r="F106" s="4" t="inlineStr">
        <is>
          <t>Authorization</t>
        </is>
      </c>
      <c r="G106" s="4" t="inlineStr">
        <is>
          <t>High</t>
        </is>
      </c>
      <c r="H106" s="4" t="inlineStr">
        <is>
          <t>High</t>
        </is>
      </c>
      <c r="I106" s="4" t="inlineStr">
        <is>
          <t>Authorized manager/admin and isolated restaurant hierarchy exist.</t>
        </is>
      </c>
      <c r="J106" s="4" t="inlineStr">
        <is>
          <t>Use only named synthetic records from the Test Data Plan; capture generated IDs and baseline values in evidence. Never use real credentials, customer PII or secrets.</t>
        </is>
      </c>
      <c r="K106" s="4" t="inlineStr">
        <is>
          <t>Admin / Owner / Manager</t>
        </is>
      </c>
      <c r="L106" s="4" t="inlineStr">
        <is>
          <t>Restaurant A / Branch A1 unless the case explicitly tests another scope</t>
        </is>
      </c>
      <c r="M106" s="4" t="inlineStr">
        <is>
          <t>1. Sign in as Admin / Owner / Manager, or remain anonymous when the case requires it.
2. Record relevant UI, API and database baseline identifiers, statuses, counts and balances.
3. Use the documented page/API to verify that role and branch assignment combinations are validated.
4. Refresh or repeat through an independent client where concurrency, polling or idempotency applies.
5. Compare the outcome, scope, audit fields and side effects with the expected result; capture evidence.</t>
        </is>
      </c>
      <c r="N106" s="4" t="inlineStr">
        <is>
          <t>The release candidate demonstrates the specified behavior exactly and only within the actor's authorized scope: Role and branch assignment combinations are validated. No unrelated record changes.</t>
        </is>
      </c>
      <c r="O106" s="4" t="inlineStr">
        <is>
          <t>Reverse only synthetic changes through supported UI/API, or restore the approved isolated snapshot; confirm no residual locks, sessions, occupied tables or stock deltas.</t>
        </is>
      </c>
      <c r="P106" s="4" t="inlineStr">
        <is>
          <t>Yes</t>
        </is>
      </c>
      <c r="Q106" s="4" t="inlineStr">
        <is>
          <t>Timestamped screenshots for UI; request/response with secrets redacted for API; query IDs/counts/balances for transactions; export/build artifact or monitoring trace where applicable.</t>
        </is>
      </c>
      <c r="R106" s="4" t="inlineStr">
        <is>
          <t>Planned / Not Yet Executed</t>
        </is>
      </c>
      <c r="S106" s="4" t="inlineStr"/>
      <c r="T106" s="4" t="inlineStr"/>
      <c r="U106" s="4" t="inlineStr"/>
      <c r="V106" s="4" t="inlineStr"/>
      <c r="W106" s="4" t="inlineStr"/>
      <c r="X106" s="4" t="inlineStr"/>
    </row>
    <row r="107" ht="72" customHeight="1">
      <c r="A107" s="4" t="inlineStr">
        <is>
          <t>STAFF-004</t>
        </is>
      </c>
      <c r="B107" s="4" t="inlineStr">
        <is>
          <t>Staff &amp; Branches</t>
        </is>
      </c>
      <c r="C107" s="4" t="inlineStr">
        <is>
          <t>FR-S01, FR-S02, FR-A04</t>
        </is>
      </c>
      <c r="D107" s="4" t="inlineStr">
        <is>
          <t>Deactivated staff loses access</t>
        </is>
      </c>
      <c r="E107" s="4" t="inlineStr">
        <is>
          <t>Verify, without assuming a pass result, that the release candidate correctly enforces: Deactivated staff loses access.</t>
        </is>
      </c>
      <c r="F107" s="4" t="inlineStr">
        <is>
          <t>Positive</t>
        </is>
      </c>
      <c r="G107" s="4" t="inlineStr">
        <is>
          <t>Medium</t>
        </is>
      </c>
      <c r="H107" s="4" t="inlineStr">
        <is>
          <t>Medium</t>
        </is>
      </c>
      <c r="I107" s="4" t="inlineStr">
        <is>
          <t>Authorized manager/admin and isolated restaurant hierarchy exist.</t>
        </is>
      </c>
      <c r="J107" s="4" t="inlineStr">
        <is>
          <t>Use only named synthetic records from the Test Data Plan; capture generated IDs and baseline values in evidence. Never use real credentials, customer PII or secrets.</t>
        </is>
      </c>
      <c r="K107" s="4" t="inlineStr">
        <is>
          <t>Admin / Owner / Manager</t>
        </is>
      </c>
      <c r="L107" s="4" t="inlineStr">
        <is>
          <t>Restaurant A / Branch A1 unless the case explicitly tests another scope</t>
        </is>
      </c>
      <c r="M107" s="4" t="inlineStr">
        <is>
          <t>1. Sign in as Admin / Owner / Manager, or remain anonymous when the case requires it.
2. Record relevant UI, API and database baseline identifiers, statuses, counts and balances.
3. Use the documented page/API to verify that deactivated staff loses access.
4. Refresh or repeat through an independent client where concurrency, polling or idempotency applies.
5. Compare the outcome, scope, audit fields and side effects with the expected result; capture evidence.</t>
        </is>
      </c>
      <c r="N107" s="4" t="inlineStr">
        <is>
          <t>The release candidate demonstrates the specified behavior exactly and only within the actor's authorized scope: Deactivated staff loses access. No unrelated record changes.</t>
        </is>
      </c>
      <c r="O107" s="4" t="inlineStr">
        <is>
          <t>Reverse only synthetic changes through supported UI/API, or restore the approved isolated snapshot; confirm no residual locks, sessions, occupied tables or stock deltas.</t>
        </is>
      </c>
      <c r="P107" s="4" t="inlineStr">
        <is>
          <t>Yes</t>
        </is>
      </c>
      <c r="Q107" s="4" t="inlineStr">
        <is>
          <t>Timestamped screenshots for UI; request/response with secrets redacted for API; query IDs/counts/balances for transactions; export/build artifact or monitoring trace where applicable.</t>
        </is>
      </c>
      <c r="R107" s="4" t="inlineStr">
        <is>
          <t>Planned / Not Yet Executed</t>
        </is>
      </c>
      <c r="S107" s="4" t="inlineStr"/>
      <c r="T107" s="4" t="inlineStr"/>
      <c r="U107" s="4" t="inlineStr"/>
      <c r="V107" s="4" t="inlineStr"/>
      <c r="W107" s="4" t="inlineStr"/>
      <c r="X107" s="4" t="inlineStr"/>
    </row>
    <row r="108" ht="72" customHeight="1">
      <c r="A108" s="4" t="inlineStr">
        <is>
          <t>STAFF-005</t>
        </is>
      </c>
      <c r="B108" s="4" t="inlineStr">
        <is>
          <t>Staff &amp; Branches</t>
        </is>
      </c>
      <c r="C108" s="4" t="inlineStr">
        <is>
          <t>FR-S01, FR-S02, FR-A04</t>
        </is>
      </c>
      <c r="D108" s="4" t="inlineStr">
        <is>
          <t>Restaurant branch hierarchy create and edit preserves scope</t>
        </is>
      </c>
      <c r="E108" s="4" t="inlineStr">
        <is>
          <t>Verify, without assuming a pass result, that the release candidate correctly enforces: Restaurant branch hierarchy create and edit preserves scope.</t>
        </is>
      </c>
      <c r="F108" s="4" t="inlineStr">
        <is>
          <t>Authorization</t>
        </is>
      </c>
      <c r="G108" s="4" t="inlineStr">
        <is>
          <t>High</t>
        </is>
      </c>
      <c r="H108" s="4" t="inlineStr">
        <is>
          <t>High</t>
        </is>
      </c>
      <c r="I108" s="4" t="inlineStr">
        <is>
          <t>Authorized manager/admin and isolated restaurant hierarchy exist.</t>
        </is>
      </c>
      <c r="J108" s="4" t="inlineStr">
        <is>
          <t>Use only named synthetic records from the Test Data Plan; capture generated IDs and baseline values in evidence. Never use real credentials, customer PII or secrets.</t>
        </is>
      </c>
      <c r="K108" s="4" t="inlineStr">
        <is>
          <t>Admin / Owner / Manager</t>
        </is>
      </c>
      <c r="L108" s="4" t="inlineStr">
        <is>
          <t>Restaurant A / Branch A1 unless the case explicitly tests another scope</t>
        </is>
      </c>
      <c r="M108" s="4" t="inlineStr">
        <is>
          <t>1. Sign in as Admin / Owner / Manager, or remain anonymous when the case requires it.
2. Record relevant UI, API and database baseline identifiers, statuses, counts and balances.
3. Use the documented page/API to verify that restaurant branch hierarchy create and edit preserves scope.
4. Refresh or repeat through an independent client where concurrency, polling or idempotency applies.
5. Compare the outcome, scope, audit fields and side effects with the expected result; capture evidence.</t>
        </is>
      </c>
      <c r="N108" s="4" t="inlineStr">
        <is>
          <t>The release candidate demonstrates the specified behavior exactly and only within the actor's authorized scope: Restaurant branch hierarchy create and edit preserves scope. No unrelated record changes.</t>
        </is>
      </c>
      <c r="O108" s="4" t="inlineStr">
        <is>
          <t>Reverse only synthetic changes through supported UI/API, or restore the approved isolated snapshot; confirm no residual locks, sessions, occupied tables or stock deltas.</t>
        </is>
      </c>
      <c r="P108" s="4" t="inlineStr">
        <is>
          <t>Yes</t>
        </is>
      </c>
      <c r="Q108" s="4" t="inlineStr">
        <is>
          <t>Timestamped screenshots for UI; request/response with secrets redacted for API; query IDs/counts/balances for transactions; export/build artifact or monitoring trace where applicable.</t>
        </is>
      </c>
      <c r="R108" s="4" t="inlineStr">
        <is>
          <t>Planned / Not Yet Executed</t>
        </is>
      </c>
      <c r="S108" s="4" t="inlineStr"/>
      <c r="T108" s="4" t="inlineStr"/>
      <c r="U108" s="4" t="inlineStr"/>
      <c r="V108" s="4" t="inlineStr"/>
      <c r="W108" s="4" t="inlineStr"/>
      <c r="X108" s="4" t="inlineStr"/>
    </row>
    <row r="109" ht="72" customHeight="1">
      <c r="A109" s="4" t="inlineStr">
        <is>
          <t>STAFF-006</t>
        </is>
      </c>
      <c r="B109" s="4" t="inlineStr">
        <is>
          <t>Staff &amp; Branches</t>
        </is>
      </c>
      <c r="C109" s="4" t="inlineStr">
        <is>
          <t>FR-S01, FR-S02, FR-A04</t>
        </is>
      </c>
      <c r="D109" s="4" t="inlineStr">
        <is>
          <t>Unauthorized and cross-restaurant staff or branch mutation is denied</t>
        </is>
      </c>
      <c r="E109" s="4" t="inlineStr">
        <is>
          <t>Verify, without assuming a pass result, that the release candidate correctly enforces: Unauthorized and cross-restaurant staff or branch mutation is denied.</t>
        </is>
      </c>
      <c r="F109" s="4" t="inlineStr">
        <is>
          <t>Negative</t>
        </is>
      </c>
      <c r="G109" s="4" t="inlineStr">
        <is>
          <t>Medium</t>
        </is>
      </c>
      <c r="H109" s="4" t="inlineStr">
        <is>
          <t>Medium</t>
        </is>
      </c>
      <c r="I109" s="4" t="inlineStr">
        <is>
          <t>Authorized manager/admin and isolated restaurant hierarchy exist.</t>
        </is>
      </c>
      <c r="J109" s="4" t="inlineStr">
        <is>
          <t>Use only named synthetic records from the Test Data Plan; capture generated IDs and baseline values in evidence. Never use real credentials, customer PII or secrets.</t>
        </is>
      </c>
      <c r="K109" s="4" t="inlineStr">
        <is>
          <t>Admin / Owner / Manager</t>
        </is>
      </c>
      <c r="L109" s="4" t="inlineStr">
        <is>
          <t>Restaurant A / Branch A1 unless the case explicitly tests another scope</t>
        </is>
      </c>
      <c r="M109" s="4" t="inlineStr">
        <is>
          <t>1. Sign in as Admin / Owner / Manager, or remain anonymous when the case requires it.
2. Record relevant UI, API and database baseline identifiers, statuses, counts and balances.
3. Use the documented page/API to verify that unauthorized and cross-restaurant staff or branch mutation is denied.
4. Refresh or repeat through an independent client where concurrency, polling or idempotency applies.
5. Compare the outcome, scope, audit fields and side effects with the expected result; capture evidence.</t>
        </is>
      </c>
      <c r="N109" s="4" t="inlineStr">
        <is>
          <t>The operation is refused with a stable, safe error; no unauthorized or partial mutation occurs. Specifically: Unauthorized and cross-restaurant staff or branch mutation is denied.</t>
        </is>
      </c>
      <c r="O109" s="4" t="inlineStr">
        <is>
          <t>Reverse only synthetic changes through supported UI/API, or restore the approved isolated snapshot; confirm no residual locks, sessions, occupied tables or stock deltas.</t>
        </is>
      </c>
      <c r="P109" s="4" t="inlineStr">
        <is>
          <t>Yes</t>
        </is>
      </c>
      <c r="Q109" s="4" t="inlineStr">
        <is>
          <t>Timestamped screenshots for UI; request/response with secrets redacted for API; query IDs/counts/balances for transactions; export/build artifact or monitoring trace where applicable.</t>
        </is>
      </c>
      <c r="R109" s="4" t="inlineStr">
        <is>
          <t>Planned / Not Yet Executed</t>
        </is>
      </c>
      <c r="S109" s="4" t="inlineStr"/>
      <c r="T109" s="4" t="inlineStr"/>
      <c r="U109" s="4" t="inlineStr"/>
      <c r="V109" s="4" t="inlineStr"/>
      <c r="W109" s="4" t="inlineStr"/>
      <c r="X109" s="4" t="inlineStr"/>
    </row>
    <row r="110" ht="72" customHeight="1">
      <c r="A110" s="4" t="inlineStr">
        <is>
          <t>INV-001</t>
        </is>
      </c>
      <c r="B110" s="4" t="inlineStr">
        <is>
          <t>Branch Inventory &amp; Procurement</t>
        </is>
      </c>
      <c r="C110" s="4" t="inlineStr">
        <is>
          <t>FR-I01, FR-I02, FR-I03, FR-I04</t>
        </is>
      </c>
      <c r="D110" s="4" t="inlineStr">
        <is>
          <t>Inventory item stores unit stock thresholds cost category and expiry</t>
        </is>
      </c>
      <c r="E110" s="4" t="inlineStr">
        <is>
          <t>Verify, without assuming a pass result, that the release candidate correctly enforces: Inventory item stores unit stock thresholds cost category and expiry.</t>
        </is>
      </c>
      <c r="F110" s="4" t="inlineStr">
        <is>
          <t>Positive</t>
        </is>
      </c>
      <c r="G110" s="4" t="inlineStr">
        <is>
          <t>High</t>
        </is>
      </c>
      <c r="H110" s="4" t="inlineStr">
        <is>
          <t>High</t>
        </is>
      </c>
      <c r="I110" s="4" t="inlineStr">
        <is>
          <t>Branch inventory, supplier, approver and known balances exist.</t>
        </is>
      </c>
      <c r="J110" s="4" t="inlineStr">
        <is>
          <t>Use only named synthetic records from the Test Data Plan; capture generated IDs and baseline values in evidence. Never use real credentials, customer PII or secrets.</t>
        </is>
      </c>
      <c r="K110" s="4" t="inlineStr">
        <is>
          <t>Branch Storekeeper / Manager</t>
        </is>
      </c>
      <c r="L110" s="4" t="inlineStr">
        <is>
          <t>Restaurant A / Branch A1 unless the case explicitly tests another scope</t>
        </is>
      </c>
      <c r="M110" s="4" t="inlineStr">
        <is>
          <t>1. Sign in as Branch Storekeeper / Manager, or remain anonymous when the case requires it.
2. Record relevant UI, API and database baseline identifiers, statuses, counts and balances.
3. Use the documented page/API to verify that inventory item stores unit stock thresholds cost category and expiry.
4. Refresh or repeat through an independent client where concurrency, polling or idempotency applies.
5. Compare the outcome, scope, audit fields and side effects with the expected result; capture evidence.</t>
        </is>
      </c>
      <c r="N110" s="4" t="inlineStr">
        <is>
          <t>The release candidate demonstrates the specified behavior exactly and only within the actor's authorized scope: Inventory item stores unit stock thresholds cost category and expiry. No unrelated record changes.</t>
        </is>
      </c>
      <c r="O110" s="4" t="inlineStr">
        <is>
          <t>Reverse only synthetic changes through supported UI/API, or restore the approved isolated snapshot; confirm no residual locks, sessions, occupied tables or stock deltas.</t>
        </is>
      </c>
      <c r="P110" s="4" t="inlineStr">
        <is>
          <t>Yes</t>
        </is>
      </c>
      <c r="Q110" s="4" t="inlineStr">
        <is>
          <t>Timestamped screenshots for UI; request/response with secrets redacted for API; query IDs/counts/balances for transactions; export/build artifact or monitoring trace where applicable.</t>
        </is>
      </c>
      <c r="R110" s="4" t="inlineStr">
        <is>
          <t>Planned / Not Yet Executed</t>
        </is>
      </c>
      <c r="S110" s="4" t="inlineStr"/>
      <c r="T110" s="4" t="inlineStr"/>
      <c r="U110" s="4" t="inlineStr"/>
      <c r="V110" s="4" t="inlineStr"/>
      <c r="W110" s="4" t="inlineStr"/>
      <c r="X110" s="4" t="inlineStr"/>
    </row>
    <row r="111" ht="72" customHeight="1">
      <c r="A111" s="4" t="inlineStr">
        <is>
          <t>INV-002</t>
        </is>
      </c>
      <c r="B111" s="4" t="inlineStr">
        <is>
          <t>Branch Inventory &amp; Procurement</t>
        </is>
      </c>
      <c r="C111" s="4" t="inlineStr">
        <is>
          <t>FR-I01, FR-I02, FR-I03, FR-I04</t>
        </is>
      </c>
      <c r="D111" s="4" t="inlineStr">
        <is>
          <t>Low stock warning appears below minimum</t>
        </is>
      </c>
      <c r="E111" s="4" t="inlineStr">
        <is>
          <t>Verify, without assuming a pass result, that the release candidate correctly enforces: Low stock warning appears below minimum.</t>
        </is>
      </c>
      <c r="F111" s="4" t="inlineStr">
        <is>
          <t>Positive</t>
        </is>
      </c>
      <c r="G111" s="4" t="inlineStr">
        <is>
          <t>High</t>
        </is>
      </c>
      <c r="H111" s="4" t="inlineStr">
        <is>
          <t>High</t>
        </is>
      </c>
      <c r="I111" s="4" t="inlineStr">
        <is>
          <t>Branch inventory, supplier, approver and known balances exist.</t>
        </is>
      </c>
      <c r="J111" s="4" t="inlineStr">
        <is>
          <t>Use only named synthetic records from the Test Data Plan; capture generated IDs and baseline values in evidence. Never use real credentials, customer PII or secrets.</t>
        </is>
      </c>
      <c r="K111" s="4" t="inlineStr">
        <is>
          <t>Branch Storekeeper / Manager</t>
        </is>
      </c>
      <c r="L111" s="4" t="inlineStr">
        <is>
          <t>Restaurant A / Branch A1 unless the case explicitly tests another scope</t>
        </is>
      </c>
      <c r="M111" s="4" t="inlineStr">
        <is>
          <t>1. Sign in as Branch Storekeeper / Manager, or remain anonymous when the case requires it.
2. Record relevant UI, API and database baseline identifiers, statuses, counts and balances.
3. Use the documented page/API to verify that low stock warning appears below minimum.
4. Refresh or repeat through an independent client where concurrency, polling or idempotency applies.
5. Compare the outcome, scope, audit fields and side effects with the expected result; capture evidence.</t>
        </is>
      </c>
      <c r="N111" s="4" t="inlineStr">
        <is>
          <t>The release candidate demonstrates the specified behavior exactly and only within the actor's authorized scope: Low stock warning appears below minimum. No unrelated record changes.</t>
        </is>
      </c>
      <c r="O111" s="4" t="inlineStr">
        <is>
          <t>Reverse only synthetic changes through supported UI/API, or restore the approved isolated snapshot; confirm no residual locks, sessions, occupied tables or stock deltas.</t>
        </is>
      </c>
      <c r="P111" s="4" t="inlineStr">
        <is>
          <t>Yes</t>
        </is>
      </c>
      <c r="Q111" s="4" t="inlineStr">
        <is>
          <t>Timestamped screenshots for UI; request/response with secrets redacted for API; query IDs/counts/balances for transactions; export/build artifact or monitoring trace where applicable.</t>
        </is>
      </c>
      <c r="R111" s="4" t="inlineStr">
        <is>
          <t>Planned / Not Yet Executed</t>
        </is>
      </c>
      <c r="S111" s="4" t="inlineStr"/>
      <c r="T111" s="4" t="inlineStr"/>
      <c r="U111" s="4" t="inlineStr"/>
      <c r="V111" s="4" t="inlineStr"/>
      <c r="W111" s="4" t="inlineStr"/>
      <c r="X111" s="4" t="inlineStr"/>
    </row>
    <row r="112" ht="72" customHeight="1">
      <c r="A112" s="4" t="inlineStr">
        <is>
          <t>INV-003</t>
        </is>
      </c>
      <c r="B112" s="4" t="inlineStr">
        <is>
          <t>Branch Inventory &amp; Procurement</t>
        </is>
      </c>
      <c r="C112" s="4" t="inlineStr">
        <is>
          <t>FR-I01, FR-I02, FR-I03, FR-I04</t>
        </is>
      </c>
      <c r="D112" s="4" t="inlineStr">
        <is>
          <t>Critical alert appears at half minimum or zero</t>
        </is>
      </c>
      <c r="E112" s="4" t="inlineStr">
        <is>
          <t>Verify, without assuming a pass result, that the release candidate correctly enforces: Critical alert appears at half minimum or zero.</t>
        </is>
      </c>
      <c r="F112" s="4" t="inlineStr">
        <is>
          <t>Boundary</t>
        </is>
      </c>
      <c r="G112" s="4" t="inlineStr">
        <is>
          <t>Medium</t>
        </is>
      </c>
      <c r="H112" s="4" t="inlineStr">
        <is>
          <t>Medium</t>
        </is>
      </c>
      <c r="I112" s="4" t="inlineStr">
        <is>
          <t>Branch inventory, supplier, approver and known balances exist.</t>
        </is>
      </c>
      <c r="J112" s="4" t="inlineStr">
        <is>
          <t>Use only named synthetic records from the Test Data Plan; capture generated IDs and baseline values in evidence. Never use real credentials, customer PII or secrets.</t>
        </is>
      </c>
      <c r="K112" s="4" t="inlineStr">
        <is>
          <t>Branch Storekeeper / Manager</t>
        </is>
      </c>
      <c r="L112" s="4" t="inlineStr">
        <is>
          <t>Restaurant A / Branch A1 unless the case explicitly tests another scope</t>
        </is>
      </c>
      <c r="M112" s="4" t="inlineStr">
        <is>
          <t>1. Sign in as Branch Storekeeper / Manager, or remain anonymous when the case requires it.
2. Record relevant UI, API and database baseline identifiers, statuses, counts and balances.
3. Use the documented page/API to verify that critical alert appears at half minimum or zero.
4. Refresh or repeat through an independent client where concurrency, polling or idempotency applies.
5. Compare the outcome, scope, audit fields and side effects with the expected result; capture evidence.</t>
        </is>
      </c>
      <c r="N112" s="4" t="inlineStr">
        <is>
          <t>The release candidate demonstrates the specified behavior exactly and only within the actor's authorized scope: Critical alert appears at half minimum or zero. No unrelated record changes.</t>
        </is>
      </c>
      <c r="O112" s="4" t="inlineStr">
        <is>
          <t>Reverse only synthetic changes through supported UI/API, or restore the approved isolated snapshot; confirm no residual locks, sessions, occupied tables or stock deltas.</t>
        </is>
      </c>
      <c r="P112" s="4" t="inlineStr">
        <is>
          <t>Yes</t>
        </is>
      </c>
      <c r="Q112" s="4" t="inlineStr">
        <is>
          <t>Timestamped screenshots for UI; request/response with secrets redacted for API; query IDs/counts/balances for transactions; export/build artifact or monitoring trace where applicable.</t>
        </is>
      </c>
      <c r="R112" s="4" t="inlineStr">
        <is>
          <t>Planned / Not Yet Executed</t>
        </is>
      </c>
      <c r="S112" s="4" t="inlineStr"/>
      <c r="T112" s="4" t="inlineStr"/>
      <c r="U112" s="4" t="inlineStr"/>
      <c r="V112" s="4" t="inlineStr"/>
      <c r="W112" s="4" t="inlineStr"/>
      <c r="X112" s="4" t="inlineStr"/>
    </row>
    <row r="113" ht="72" customHeight="1">
      <c r="A113" s="4" t="inlineStr">
        <is>
          <t>INV-004</t>
        </is>
      </c>
      <c r="B113" s="4" t="inlineStr">
        <is>
          <t>Branch Inventory &amp; Procurement</t>
        </is>
      </c>
      <c r="C113" s="4" t="inlineStr">
        <is>
          <t>FR-I01, FR-I02, FR-I03, FR-I04</t>
        </is>
      </c>
      <c r="D113" s="4" t="inlineStr">
        <is>
          <t>Expiry and soon-to-expire indicators use the configured date boundary</t>
        </is>
      </c>
      <c r="E113" s="4" t="inlineStr">
        <is>
          <t>Verify, without assuming a pass result, that the release candidate correctly enforces: Expiry and soon-to-expire indicators use the configured date boundary.</t>
        </is>
      </c>
      <c r="F113" s="4" t="inlineStr">
        <is>
          <t>Boundary</t>
        </is>
      </c>
      <c r="G113" s="4" t="inlineStr">
        <is>
          <t>Medium</t>
        </is>
      </c>
      <c r="H113" s="4" t="inlineStr">
        <is>
          <t>Medium</t>
        </is>
      </c>
      <c r="I113" s="4" t="inlineStr">
        <is>
          <t>Branch inventory, supplier, approver and known balances exist.</t>
        </is>
      </c>
      <c r="J113" s="4" t="inlineStr">
        <is>
          <t>Use only named synthetic records from the Test Data Plan; capture generated IDs and baseline values in evidence. Never use real credentials, customer PII or secrets.</t>
        </is>
      </c>
      <c r="K113" s="4" t="inlineStr">
        <is>
          <t>Branch Storekeeper / Manager</t>
        </is>
      </c>
      <c r="L113" s="4" t="inlineStr">
        <is>
          <t>Restaurant A / Branch A1 unless the case explicitly tests another scope</t>
        </is>
      </c>
      <c r="M113" s="4" t="inlineStr">
        <is>
          <t>1. Sign in as Branch Storekeeper / Manager, or remain anonymous when the case requires it.
2. Record relevant UI, API and database baseline identifiers, statuses, counts and balances.
3. Use the documented page/API to verify that expiry and soon-to-expire indicators use the configured date boundary.
4. Refresh or repeat through an independent client where concurrency, polling or idempotency applies.
5. Compare the outcome, scope, audit fields and side effects with the expected result; capture evidence.</t>
        </is>
      </c>
      <c r="N113" s="4" t="inlineStr">
        <is>
          <t>The release candidate demonstrates the specified behavior exactly and only within the actor's authorized scope: Expiry and soon-to-expire indicators use the configured date boundary. No unrelated record changes.</t>
        </is>
      </c>
      <c r="O113" s="4" t="inlineStr">
        <is>
          <t>Reverse only synthetic changes through supported UI/API, or restore the approved isolated snapshot; confirm no residual locks, sessions, occupied tables or stock deltas.</t>
        </is>
      </c>
      <c r="P113" s="4" t="inlineStr">
        <is>
          <t>Yes</t>
        </is>
      </c>
      <c r="Q113" s="4" t="inlineStr">
        <is>
          <t>Timestamped screenshots for UI; request/response with secrets redacted for API; query IDs/counts/balances for transactions; export/build artifact or monitoring trace where applicable.</t>
        </is>
      </c>
      <c r="R113" s="4" t="inlineStr">
        <is>
          <t>Planned / Not Yet Executed</t>
        </is>
      </c>
      <c r="S113" s="4" t="inlineStr"/>
      <c r="T113" s="4" t="inlineStr"/>
      <c r="U113" s="4" t="inlineStr"/>
      <c r="V113" s="4" t="inlineStr"/>
      <c r="W113" s="4" t="inlineStr"/>
      <c r="X113" s="4" t="inlineStr"/>
    </row>
    <row r="114" ht="72" customHeight="1">
      <c r="A114" s="4" t="inlineStr">
        <is>
          <t>INV-005</t>
        </is>
      </c>
      <c r="B114" s="4" t="inlineStr">
        <is>
          <t>Branch Inventory &amp; Procurement</t>
        </is>
      </c>
      <c r="C114" s="4" t="inlineStr">
        <is>
          <t>FR-I01, FR-I02, FR-I03, FR-I04</t>
        </is>
      </c>
      <c r="D114" s="4" t="inlineStr">
        <is>
          <t>Supplier can be created edited and filtered</t>
        </is>
      </c>
      <c r="E114" s="4" t="inlineStr">
        <is>
          <t>Verify, without assuming a pass result, that the release candidate correctly enforces: Supplier can be created edited and filtered.</t>
        </is>
      </c>
      <c r="F114" s="4" t="inlineStr">
        <is>
          <t>Positive</t>
        </is>
      </c>
      <c r="G114" s="4" t="inlineStr">
        <is>
          <t>Medium</t>
        </is>
      </c>
      <c r="H114" s="4" t="inlineStr">
        <is>
          <t>Medium</t>
        </is>
      </c>
      <c r="I114" s="4" t="inlineStr">
        <is>
          <t>Branch inventory, supplier, approver and known balances exist.</t>
        </is>
      </c>
      <c r="J114" s="4" t="inlineStr">
        <is>
          <t>Use only named synthetic records from the Test Data Plan; capture generated IDs and baseline values in evidence. Never use real credentials, customer PII or secrets.</t>
        </is>
      </c>
      <c r="K114" s="4" t="inlineStr">
        <is>
          <t>Branch Storekeeper / Manager</t>
        </is>
      </c>
      <c r="L114" s="4" t="inlineStr">
        <is>
          <t>Restaurant A / Branch A1 unless the case explicitly tests another scope</t>
        </is>
      </c>
      <c r="M114" s="4" t="inlineStr">
        <is>
          <t>1. Sign in as Branch Storekeeper / Manager, or remain anonymous when the case requires it.
2. Record relevant UI, API and database baseline identifiers, statuses, counts and balances.
3. Use the documented page/API to verify that supplier can be created edited and filtered.
4. Refresh or repeat through an independent client where concurrency, polling or idempotency applies.
5. Compare the outcome, scope, audit fields and side effects with the expected result; capture evidence.</t>
        </is>
      </c>
      <c r="N114" s="4" t="inlineStr">
        <is>
          <t>The release candidate demonstrates the specified behavior exactly and only within the actor's authorized scope: Supplier can be created edited and filtered. No unrelated record changes.</t>
        </is>
      </c>
      <c r="O114" s="4" t="inlineStr">
        <is>
          <t>Reverse only synthetic changes through supported UI/API, or restore the approved isolated snapshot; confirm no residual locks, sessions, occupied tables or stock deltas.</t>
        </is>
      </c>
      <c r="P114" s="4" t="inlineStr">
        <is>
          <t>Yes</t>
        </is>
      </c>
      <c r="Q114" s="4" t="inlineStr">
        <is>
          <t>Timestamped screenshots for UI; request/response with secrets redacted for API; query IDs/counts/balances for transactions; export/build artifact or monitoring trace where applicable.</t>
        </is>
      </c>
      <c r="R114" s="4" t="inlineStr">
        <is>
          <t>Planned / Not Yet Executed</t>
        </is>
      </c>
      <c r="S114" s="4" t="inlineStr"/>
      <c r="T114" s="4" t="inlineStr"/>
      <c r="U114" s="4" t="inlineStr"/>
      <c r="V114" s="4" t="inlineStr"/>
      <c r="W114" s="4" t="inlineStr"/>
      <c r="X114" s="4" t="inlineStr"/>
    </row>
    <row r="115" ht="72" customHeight="1">
      <c r="A115" s="4" t="inlineStr">
        <is>
          <t>INV-006</t>
        </is>
      </c>
      <c r="B115" s="4" t="inlineStr">
        <is>
          <t>Branch Inventory &amp; Procurement</t>
        </is>
      </c>
      <c r="C115" s="4" t="inlineStr">
        <is>
          <t>FR-I01, FR-I02, FR-I03, FR-I04</t>
        </is>
      </c>
      <c r="D115" s="4" t="inlineStr">
        <is>
          <t>Purchase order records supplier lines totals and initial status</t>
        </is>
      </c>
      <c r="E115" s="4" t="inlineStr">
        <is>
          <t>Verify, without assuming a pass result, that the release candidate correctly enforces: Purchase order records supplier lines totals and initial status.</t>
        </is>
      </c>
      <c r="F115" s="4" t="inlineStr">
        <is>
          <t>Positive</t>
        </is>
      </c>
      <c r="G115" s="4" t="inlineStr">
        <is>
          <t>High</t>
        </is>
      </c>
      <c r="H115" s="4" t="inlineStr">
        <is>
          <t>High</t>
        </is>
      </c>
      <c r="I115" s="4" t="inlineStr">
        <is>
          <t>Branch inventory, supplier, approver and known balances exist.</t>
        </is>
      </c>
      <c r="J115" s="4" t="inlineStr">
        <is>
          <t>Use only named synthetic records from the Test Data Plan; capture generated IDs and baseline values in evidence. Never use real credentials, customer PII or secrets.</t>
        </is>
      </c>
      <c r="K115" s="4" t="inlineStr">
        <is>
          <t>Branch Storekeeper / Manager</t>
        </is>
      </c>
      <c r="L115" s="4" t="inlineStr">
        <is>
          <t>Restaurant A / Branch A1 unless the case explicitly tests another scope</t>
        </is>
      </c>
      <c r="M115" s="4" t="inlineStr">
        <is>
          <t>1. Sign in as Branch Storekeeper / Manager, or remain anonymous when the case requires it.
2. Record relevant UI, API and database baseline identifiers, statuses, counts and balances.
3. Use the documented page/API to verify that purchase order records supplier lines totals and initial status.
4. Refresh or repeat through an independent client where concurrency, polling or idempotency applies.
5. Compare the outcome, scope, audit fields and side effects with the expected result; capture evidence.</t>
        </is>
      </c>
      <c r="N115" s="4" t="inlineStr">
        <is>
          <t>The release candidate demonstrates the specified behavior exactly and only within the actor's authorized scope: Purchase order records supplier lines totals and initial status. No unrelated record changes.</t>
        </is>
      </c>
      <c r="O115" s="4" t="inlineStr">
        <is>
          <t>Reverse only synthetic changes through supported UI/API, or restore the approved isolated snapshot; confirm no residual locks, sessions, occupied tables or stock deltas.</t>
        </is>
      </c>
      <c r="P115" s="4" t="inlineStr">
        <is>
          <t>Yes</t>
        </is>
      </c>
      <c r="Q115" s="4" t="inlineStr">
        <is>
          <t>Timestamped screenshots for UI; request/response with secrets redacted for API; query IDs/counts/balances for transactions; export/build artifact or monitoring trace where applicable.</t>
        </is>
      </c>
      <c r="R115" s="4" t="inlineStr">
        <is>
          <t>Planned / Not Yet Executed</t>
        </is>
      </c>
      <c r="S115" s="4" t="inlineStr"/>
      <c r="T115" s="4" t="inlineStr"/>
      <c r="U115" s="4" t="inlineStr"/>
      <c r="V115" s="4" t="inlineStr"/>
      <c r="W115" s="4" t="inlineStr"/>
      <c r="X115" s="4" t="inlineStr"/>
    </row>
    <row r="116" ht="72" customHeight="1">
      <c r="A116" s="4" t="inlineStr">
        <is>
          <t>INV-007</t>
        </is>
      </c>
      <c r="B116" s="4" t="inlineStr">
        <is>
          <t>Branch Inventory &amp; Procurement</t>
        </is>
      </c>
      <c r="C116" s="4" t="inlineStr">
        <is>
          <t>FR-I01, FR-I02, FR-I03, FR-I04</t>
        </is>
      </c>
      <c r="D116" s="4" t="inlineStr">
        <is>
          <t>Purchase order approval respects role and status</t>
        </is>
      </c>
      <c r="E116" s="4" t="inlineStr">
        <is>
          <t>Verify, without assuming a pass result, that the release candidate correctly enforces: Purchase order approval respects role and status.</t>
        </is>
      </c>
      <c r="F116" s="4" t="inlineStr">
        <is>
          <t>Authorization</t>
        </is>
      </c>
      <c r="G116" s="4" t="inlineStr">
        <is>
          <t>High</t>
        </is>
      </c>
      <c r="H116" s="4" t="inlineStr">
        <is>
          <t>High</t>
        </is>
      </c>
      <c r="I116" s="4" t="inlineStr">
        <is>
          <t>Branch inventory, supplier, approver and known balances exist.</t>
        </is>
      </c>
      <c r="J116" s="4" t="inlineStr">
        <is>
          <t>Use only named synthetic records from the Test Data Plan; capture generated IDs and baseline values in evidence. Never use real credentials, customer PII or secrets.</t>
        </is>
      </c>
      <c r="K116" s="4" t="inlineStr">
        <is>
          <t>Branch Storekeeper / Manager</t>
        </is>
      </c>
      <c r="L116" s="4" t="inlineStr">
        <is>
          <t>Restaurant A / Branch A1 unless the case explicitly tests another scope</t>
        </is>
      </c>
      <c r="M116" s="4" t="inlineStr">
        <is>
          <t>1. Sign in as Branch Storekeeper / Manager, or remain anonymous when the case requires it.
2. Record relevant UI, API and database baseline identifiers, statuses, counts and balances.
3. Use the documented page/API to verify that purchase order approval respects role and status.
4. Refresh or repeat through an independent client where concurrency, polling or idempotency applies.
5. Compare the outcome, scope, audit fields and side effects with the expected result; capture evidence.</t>
        </is>
      </c>
      <c r="N116" s="4" t="inlineStr">
        <is>
          <t>The release candidate demonstrates the specified behavior exactly and only within the actor's authorized scope: Purchase order approval respects role and status. No unrelated record changes.</t>
        </is>
      </c>
      <c r="O116" s="4" t="inlineStr">
        <is>
          <t>Reverse only synthetic changes through supported UI/API, or restore the approved isolated snapshot; confirm no residual locks, sessions, occupied tables or stock deltas.</t>
        </is>
      </c>
      <c r="P116" s="4" t="inlineStr">
        <is>
          <t>Yes</t>
        </is>
      </c>
      <c r="Q116" s="4" t="inlineStr">
        <is>
          <t>Timestamped screenshots for UI; request/response with secrets redacted for API; query IDs/counts/balances for transactions; export/build artifact or monitoring trace where applicable.</t>
        </is>
      </c>
      <c r="R116" s="4" t="inlineStr">
        <is>
          <t>Planned / Not Yet Executed</t>
        </is>
      </c>
      <c r="S116" s="4" t="inlineStr"/>
      <c r="T116" s="4" t="inlineStr"/>
      <c r="U116" s="4" t="inlineStr"/>
      <c r="V116" s="4" t="inlineStr"/>
      <c r="W116" s="4" t="inlineStr"/>
      <c r="X116" s="4" t="inlineStr"/>
    </row>
    <row r="117" ht="72" customHeight="1">
      <c r="A117" s="4" t="inlineStr">
        <is>
          <t>INV-008</t>
        </is>
      </c>
      <c r="B117" s="4" t="inlineStr">
        <is>
          <t>Branch Inventory &amp; Procurement</t>
        </is>
      </c>
      <c r="C117" s="4" t="inlineStr">
        <is>
          <t>FR-I01, FR-I02, FR-I03, FR-I04</t>
        </is>
      </c>
      <c r="D117" s="4" t="inlineStr">
        <is>
          <t>Receiving approved purchase updates stock exactly once</t>
        </is>
      </c>
      <c r="E117" s="4" t="inlineStr">
        <is>
          <t>Verify, without assuming a pass result, that the release candidate correctly enforces: Receiving approved purchase updates stock exactly once.</t>
        </is>
      </c>
      <c r="F117" s="4" t="inlineStr">
        <is>
          <t>Positive</t>
        </is>
      </c>
      <c r="G117" s="4" t="inlineStr">
        <is>
          <t>High</t>
        </is>
      </c>
      <c r="H117" s="4" t="inlineStr">
        <is>
          <t>High</t>
        </is>
      </c>
      <c r="I117" s="4" t="inlineStr">
        <is>
          <t>Branch inventory, supplier, approver and known balances exist.</t>
        </is>
      </c>
      <c r="J117" s="4" t="inlineStr">
        <is>
          <t>Use only named synthetic records from the Test Data Plan; capture generated IDs and baseline values in evidence. Never use real credentials, customer PII or secrets.</t>
        </is>
      </c>
      <c r="K117" s="4" t="inlineStr">
        <is>
          <t>Branch Storekeeper / Manager</t>
        </is>
      </c>
      <c r="L117" s="4" t="inlineStr">
        <is>
          <t>Restaurant A / Branch A1 unless the case explicitly tests another scope</t>
        </is>
      </c>
      <c r="M117" s="4" t="inlineStr">
        <is>
          <t>1. Sign in as Branch Storekeeper / Manager, or remain anonymous when the case requires it.
2. Record relevant UI, API and database baseline identifiers, statuses, counts and balances.
3. Use the documented page/API to verify that receiving approved purchase updates stock exactly once.
4. Refresh or repeat through an independent client where concurrency, polling or idempotency applies.
5. Compare the outcome, scope, audit fields and side effects with the expected result; capture evidence.</t>
        </is>
      </c>
      <c r="N117" s="4" t="inlineStr">
        <is>
          <t>The release candidate demonstrates the specified behavior exactly and only within the actor's authorized scope: Receiving approved purchase updates stock exactly once. No unrelated record changes.</t>
        </is>
      </c>
      <c r="O117" s="4" t="inlineStr">
        <is>
          <t>Reverse only synthetic changes through supported UI/API, or restore the approved isolated snapshot; confirm no residual locks, sessions, occupied tables or stock deltas.</t>
        </is>
      </c>
      <c r="P117" s="4" t="inlineStr">
        <is>
          <t>Yes</t>
        </is>
      </c>
      <c r="Q117" s="4" t="inlineStr">
        <is>
          <t>Timestamped screenshots for UI; request/response with secrets redacted for API; query IDs/counts/balances for transactions; export/build artifact or monitoring trace where applicable.</t>
        </is>
      </c>
      <c r="R117" s="4" t="inlineStr">
        <is>
          <t>Planned / Not Yet Executed</t>
        </is>
      </c>
      <c r="S117" s="4" t="inlineStr"/>
      <c r="T117" s="4" t="inlineStr"/>
      <c r="U117" s="4" t="inlineStr"/>
      <c r="V117" s="4" t="inlineStr"/>
      <c r="W117" s="4" t="inlineStr"/>
      <c r="X117" s="4" t="inlineStr"/>
    </row>
    <row r="118" ht="72" customHeight="1">
      <c r="A118" s="4" t="inlineStr">
        <is>
          <t>INV-009</t>
        </is>
      </c>
      <c r="B118" s="4" t="inlineStr">
        <is>
          <t>Branch Inventory &amp; Procurement</t>
        </is>
      </c>
      <c r="C118" s="4" t="inlineStr">
        <is>
          <t>FR-I01, FR-I02, FR-I03, FR-I04</t>
        </is>
      </c>
      <c r="D118" s="4" t="inlineStr">
        <is>
          <t>Duplicate receipt attempt does not increase stock twice</t>
        </is>
      </c>
      <c r="E118" s="4" t="inlineStr">
        <is>
          <t>Verify, without assuming a pass result, that the release candidate correctly enforces: Duplicate receipt attempt does not increase stock twice.</t>
        </is>
      </c>
      <c r="F118" s="4" t="inlineStr">
        <is>
          <t>Recovery</t>
        </is>
      </c>
      <c r="G118" s="4" t="inlineStr">
        <is>
          <t>High</t>
        </is>
      </c>
      <c r="H118" s="4" t="inlineStr">
        <is>
          <t>High</t>
        </is>
      </c>
      <c r="I118" s="4" t="inlineStr">
        <is>
          <t>Branch inventory, supplier, approver and known balances exist.</t>
        </is>
      </c>
      <c r="J118" s="4" t="inlineStr">
        <is>
          <t>Use only named synthetic records from the Test Data Plan; capture generated IDs and baseline values in evidence. Never use real credentials, customer PII or secrets.</t>
        </is>
      </c>
      <c r="K118" s="4" t="inlineStr">
        <is>
          <t>Branch Storekeeper / Manager</t>
        </is>
      </c>
      <c r="L118" s="4" t="inlineStr">
        <is>
          <t>Restaurant A / Branch A1 unless the case explicitly tests another scope</t>
        </is>
      </c>
      <c r="M118" s="4" t="inlineStr">
        <is>
          <t>1. Sign in as Branch Storekeeper / Manager, or remain anonymous when the case requires it.
2. Record relevant UI, API and database baseline identifiers, statuses, counts and balances.
3. Use the documented page/API to verify that duplicate receipt attempt does not increase stock twice.
4. Refresh or repeat through an independent client where concurrency, polling or idempotency applies.
5. Compare the outcome, scope, audit fields and side effects with the expected result; capture evidence.</t>
        </is>
      </c>
      <c r="N118" s="4" t="inlineStr">
        <is>
          <t>The release candidate demonstrates the specified behavior exactly and only within the actor's authorized scope: Duplicate receipt attempt does not increase stock twice. No unrelated record changes.</t>
        </is>
      </c>
      <c r="O118" s="4" t="inlineStr">
        <is>
          <t>Reverse only synthetic changes through supported UI/API, or restore the approved isolated snapshot; confirm no residual locks, sessions, occupied tables or stock deltas.</t>
        </is>
      </c>
      <c r="P118" s="4" t="inlineStr">
        <is>
          <t>Yes</t>
        </is>
      </c>
      <c r="Q118" s="4" t="inlineStr">
        <is>
          <t>Timestamped screenshots for UI; request/response with secrets redacted for API; query IDs/counts/balances for transactions; export/build artifact or monitoring trace where applicable.</t>
        </is>
      </c>
      <c r="R118" s="4" t="inlineStr">
        <is>
          <t>Planned / Not Yet Executed</t>
        </is>
      </c>
      <c r="S118" s="4" t="inlineStr"/>
      <c r="T118" s="4" t="inlineStr"/>
      <c r="U118" s="4" t="inlineStr"/>
      <c r="V118" s="4" t="inlineStr"/>
      <c r="W118" s="4" t="inlineStr"/>
      <c r="X118" s="4" t="inlineStr"/>
    </row>
    <row r="119" ht="72" customHeight="1">
      <c r="A119" s="4" t="inlineStr">
        <is>
          <t>INV-010</t>
        </is>
      </c>
      <c r="B119" s="4" t="inlineStr">
        <is>
          <t>Branch Inventory &amp; Procurement</t>
        </is>
      </c>
      <c r="C119" s="4" t="inlineStr">
        <is>
          <t>FR-I01, FR-I02, FR-I03, FR-I04</t>
        </is>
      </c>
      <c r="D119" s="4" t="inlineStr">
        <is>
          <t>Addition deduction and waste adjustments update balance</t>
        </is>
      </c>
      <c r="E119" s="4" t="inlineStr">
        <is>
          <t>Verify, without assuming a pass result, that the release candidate correctly enforces: Addition deduction and waste adjustments update balance.</t>
        </is>
      </c>
      <c r="F119" s="4" t="inlineStr">
        <is>
          <t>Positive</t>
        </is>
      </c>
      <c r="G119" s="4" t="inlineStr">
        <is>
          <t>Medium</t>
        </is>
      </c>
      <c r="H119" s="4" t="inlineStr">
        <is>
          <t>Medium</t>
        </is>
      </c>
      <c r="I119" s="4" t="inlineStr">
        <is>
          <t>Branch inventory, supplier, approver and known balances exist.</t>
        </is>
      </c>
      <c r="J119" s="4" t="inlineStr">
        <is>
          <t>Use only named synthetic records from the Test Data Plan; capture generated IDs and baseline values in evidence. Never use real credentials, customer PII or secrets.</t>
        </is>
      </c>
      <c r="K119" s="4" t="inlineStr">
        <is>
          <t>Branch Storekeeper / Manager</t>
        </is>
      </c>
      <c r="L119" s="4" t="inlineStr">
        <is>
          <t>Restaurant A / Branch A1 unless the case explicitly tests another scope</t>
        </is>
      </c>
      <c r="M119" s="4" t="inlineStr">
        <is>
          <t>1. Sign in as Branch Storekeeper / Manager, or remain anonymous when the case requires it.
2. Record relevant UI, API and database baseline identifiers, statuses, counts and balances.
3. Use the documented page/API to verify that addition deduction and waste adjustments update balance.
4. Refresh or repeat through an independent client where concurrency, polling or idempotency applies.
5. Compare the outcome, scope, audit fields and side effects with the expected result; capture evidence.</t>
        </is>
      </c>
      <c r="N119" s="4" t="inlineStr">
        <is>
          <t>The release candidate demonstrates the specified behavior exactly and only within the actor's authorized scope: Addition deduction and waste adjustments update balance. No unrelated record changes.</t>
        </is>
      </c>
      <c r="O119" s="4" t="inlineStr">
        <is>
          <t>Reverse only synthetic changes through supported UI/API, or restore the approved isolated snapshot; confirm no residual locks, sessions, occupied tables or stock deltas.</t>
        </is>
      </c>
      <c r="P119" s="4" t="inlineStr">
        <is>
          <t>Yes</t>
        </is>
      </c>
      <c r="Q119" s="4" t="inlineStr">
        <is>
          <t>Timestamped screenshots for UI; request/response with secrets redacted for API; query IDs/counts/balances for transactions; export/build artifact or monitoring trace where applicable.</t>
        </is>
      </c>
      <c r="R119" s="4" t="inlineStr">
        <is>
          <t>Planned / Not Yet Executed</t>
        </is>
      </c>
      <c r="S119" s="4" t="inlineStr"/>
      <c r="T119" s="4" t="inlineStr"/>
      <c r="U119" s="4" t="inlineStr"/>
      <c r="V119" s="4" t="inlineStr"/>
      <c r="W119" s="4" t="inlineStr"/>
      <c r="X119" s="4" t="inlineStr"/>
    </row>
    <row r="120" ht="72" customHeight="1">
      <c r="A120" s="4" t="inlineStr">
        <is>
          <t>INV-011</t>
        </is>
      </c>
      <c r="B120" s="4" t="inlineStr">
        <is>
          <t>Branch Inventory &amp; Procurement</t>
        </is>
      </c>
      <c r="C120" s="4" t="inlineStr">
        <is>
          <t>FR-I01, FR-I02, FR-I03, FR-I04</t>
        </is>
      </c>
      <c r="D120" s="4" t="inlineStr">
        <is>
          <t>Deduction beyond available stock is rejected</t>
        </is>
      </c>
      <c r="E120" s="4" t="inlineStr">
        <is>
          <t>Verify, without assuming a pass result, that the release candidate correctly enforces: Deduction beyond available stock is rejected.</t>
        </is>
      </c>
      <c r="F120" s="4" t="inlineStr">
        <is>
          <t>Negative</t>
        </is>
      </c>
      <c r="G120" s="4" t="inlineStr">
        <is>
          <t>High</t>
        </is>
      </c>
      <c r="H120" s="4" t="inlineStr">
        <is>
          <t>High</t>
        </is>
      </c>
      <c r="I120" s="4" t="inlineStr">
        <is>
          <t>Branch inventory, supplier, approver and known balances exist.</t>
        </is>
      </c>
      <c r="J120" s="4" t="inlineStr">
        <is>
          <t>Use only named synthetic records from the Test Data Plan; capture generated IDs and baseline values in evidence. Never use real credentials, customer PII or secrets.</t>
        </is>
      </c>
      <c r="K120" s="4" t="inlineStr">
        <is>
          <t>Branch Storekeeper / Manager</t>
        </is>
      </c>
      <c r="L120" s="4" t="inlineStr">
        <is>
          <t>Restaurant A / Branch A1 unless the case explicitly tests another scope</t>
        </is>
      </c>
      <c r="M120" s="4" t="inlineStr">
        <is>
          <t>1. Sign in as Branch Storekeeper / Manager, or remain anonymous when the case requires it.
2. Record relevant UI, API and database baseline identifiers, statuses, counts and balances.
3. Use the documented page/API to verify that deduction beyond available stock is rejected.
4. Refresh or repeat through an independent client where concurrency, polling or idempotency applies.
5. Compare the outcome, scope, audit fields and side effects with the expected result; capture evidence.</t>
        </is>
      </c>
      <c r="N120" s="4" t="inlineStr">
        <is>
          <t>The operation is refused with a stable, safe error; no unauthorized or partial mutation occurs. Specifically: Deduction beyond available stock is rejected.</t>
        </is>
      </c>
      <c r="O120" s="4" t="inlineStr">
        <is>
          <t>Reverse only synthetic changes through supported UI/API, or restore the approved isolated snapshot; confirm no residual locks, sessions, occupied tables or stock deltas.</t>
        </is>
      </c>
      <c r="P120" s="4" t="inlineStr">
        <is>
          <t>Yes</t>
        </is>
      </c>
      <c r="Q120" s="4" t="inlineStr">
        <is>
          <t>Timestamped screenshots for UI; request/response with secrets redacted for API; query IDs/counts/balances for transactions; export/build artifact or monitoring trace where applicable.</t>
        </is>
      </c>
      <c r="R120" s="4" t="inlineStr">
        <is>
          <t>Planned / Not Yet Executed</t>
        </is>
      </c>
      <c r="S120" s="4" t="inlineStr"/>
      <c r="T120" s="4" t="inlineStr"/>
      <c r="U120" s="4" t="inlineStr"/>
      <c r="V120" s="4" t="inlineStr"/>
      <c r="W120" s="4" t="inlineStr"/>
      <c r="X120" s="4" t="inlineStr"/>
    </row>
    <row r="121" ht="72" customHeight="1">
      <c r="A121" s="4" t="inlineStr">
        <is>
          <t>INV-012</t>
        </is>
      </c>
      <c r="B121" s="4" t="inlineStr">
        <is>
          <t>Branch Inventory &amp; Procurement</t>
        </is>
      </c>
      <c r="C121" s="4" t="inlineStr">
        <is>
          <t>FR-I01, FR-I02, FR-I03, FR-I04</t>
        </is>
      </c>
      <c r="D121" s="4" t="inlineStr">
        <is>
          <t>Adjustment audit records reason actor timestamp and resulting balance</t>
        </is>
      </c>
      <c r="E121" s="4" t="inlineStr">
        <is>
          <t>Verify, without assuming a pass result, that the release candidate correctly enforces: Adjustment audit records reason actor timestamp and resulting balance.</t>
        </is>
      </c>
      <c r="F121" s="4" t="inlineStr">
        <is>
          <t>Positive</t>
        </is>
      </c>
      <c r="G121" s="4" t="inlineStr">
        <is>
          <t>Medium</t>
        </is>
      </c>
      <c r="H121" s="4" t="inlineStr">
        <is>
          <t>Medium</t>
        </is>
      </c>
      <c r="I121" s="4" t="inlineStr">
        <is>
          <t>Branch inventory, supplier, approver and known balances exist.</t>
        </is>
      </c>
      <c r="J121" s="4" t="inlineStr">
        <is>
          <t>Use only named synthetic records from the Test Data Plan; capture generated IDs and baseline values in evidence. Never use real credentials, customer PII or secrets.</t>
        </is>
      </c>
      <c r="K121" s="4" t="inlineStr">
        <is>
          <t>Branch Storekeeper / Manager</t>
        </is>
      </c>
      <c r="L121" s="4" t="inlineStr">
        <is>
          <t>Restaurant A / Branch A1 unless the case explicitly tests another scope</t>
        </is>
      </c>
      <c r="M121" s="4" t="inlineStr">
        <is>
          <t>1. Sign in as Branch Storekeeper / Manager, or remain anonymous when the case requires it.
2. Record relevant UI, API and database baseline identifiers, statuses, counts and balances.
3. Use the documented page/API to verify that adjustment audit records reason actor timestamp and resulting balance.
4. Refresh or repeat through an independent client where concurrency, polling or idempotency applies.
5. Compare the outcome, scope, audit fields and side effects with the expected result; capture evidence.</t>
        </is>
      </c>
      <c r="N121" s="4" t="inlineStr">
        <is>
          <t>The release candidate demonstrates the specified behavior exactly and only within the actor's authorized scope: Adjustment audit records reason actor timestamp and resulting balance. No unrelated record changes.</t>
        </is>
      </c>
      <c r="O121" s="4" t="inlineStr">
        <is>
          <t>Reverse only synthetic changes through supported UI/API, or restore the approved isolated snapshot; confirm no residual locks, sessions, occupied tables or stock deltas.</t>
        </is>
      </c>
      <c r="P121" s="4" t="inlineStr">
        <is>
          <t>Yes</t>
        </is>
      </c>
      <c r="Q121" s="4" t="inlineStr">
        <is>
          <t>Timestamped screenshots for UI; request/response with secrets redacted for API; query IDs/counts/balances for transactions; export/build artifact or monitoring trace where applicable.</t>
        </is>
      </c>
      <c r="R121" s="4" t="inlineStr">
        <is>
          <t>Planned / Not Yet Executed</t>
        </is>
      </c>
      <c r="S121" s="4" t="inlineStr"/>
      <c r="T121" s="4" t="inlineStr"/>
      <c r="U121" s="4" t="inlineStr"/>
      <c r="V121" s="4" t="inlineStr"/>
      <c r="W121" s="4" t="inlineStr"/>
      <c r="X121" s="4" t="inlineStr"/>
    </row>
    <row r="122" ht="72" customHeight="1">
      <c r="A122" s="4" t="inlineStr">
        <is>
          <t>INV-013</t>
        </is>
      </c>
      <c r="B122" s="4" t="inlineStr">
        <is>
          <t>Branch Inventory &amp; Procurement</t>
        </is>
      </c>
      <c r="C122" s="4" t="inlineStr">
        <is>
          <t>FR-I01, FR-I02, FR-I03, FR-I04</t>
        </is>
      </c>
      <c r="D122" s="4" t="inlineStr">
        <is>
          <t>Concurrent stock adjustments preserve a correct non-negative balance</t>
        </is>
      </c>
      <c r="E122" s="4" t="inlineStr">
        <is>
          <t>Verify, without assuming a pass result, that the release candidate correctly enforces: Concurrent stock adjustments preserve a correct non-negative balance.</t>
        </is>
      </c>
      <c r="F122" s="4" t="inlineStr">
        <is>
          <t>Negative</t>
        </is>
      </c>
      <c r="G122" s="4" t="inlineStr">
        <is>
          <t>High</t>
        </is>
      </c>
      <c r="H122" s="4" t="inlineStr">
        <is>
          <t>High</t>
        </is>
      </c>
      <c r="I122" s="4" t="inlineStr">
        <is>
          <t>Branch inventory, supplier, approver and known balances exist.</t>
        </is>
      </c>
      <c r="J122" s="4" t="inlineStr">
        <is>
          <t>Use only named synthetic records from the Test Data Plan; capture generated IDs and baseline values in evidence. Never use real credentials, customer PII or secrets.</t>
        </is>
      </c>
      <c r="K122" s="4" t="inlineStr">
        <is>
          <t>Branch Storekeeper / Manager</t>
        </is>
      </c>
      <c r="L122" s="4" t="inlineStr">
        <is>
          <t>Restaurant A / Branch A1 unless the case explicitly tests another scope</t>
        </is>
      </c>
      <c r="M122" s="4" t="inlineStr">
        <is>
          <t>1. Sign in as Branch Storekeeper / Manager, or remain anonymous when the case requires it.
2. Record relevant UI, API and database baseline identifiers, statuses, counts and balances.
3. Use the documented page/API to verify that concurrent stock adjustments preserve a correct non-negative balance.
4. Refresh or repeat through an independent client where concurrency, polling or idempotency applies.
5. Compare the outcome, scope, audit fields and side effects with the expected result; capture evidence.</t>
        </is>
      </c>
      <c r="N122" s="4" t="inlineStr">
        <is>
          <t>The release candidate demonstrates the specified behavior exactly and only within the actor's authorized scope: Concurrent stock adjustments preserve a correct non-negative balance. No unrelated record changes.</t>
        </is>
      </c>
      <c r="O122" s="4" t="inlineStr">
        <is>
          <t>Reverse only synthetic changes through supported UI/API, or restore the approved isolated snapshot; confirm no residual locks, sessions, occupied tables or stock deltas.</t>
        </is>
      </c>
      <c r="P122" s="4" t="inlineStr">
        <is>
          <t>Yes</t>
        </is>
      </c>
      <c r="Q122" s="4" t="inlineStr">
        <is>
          <t>Timestamped screenshots for UI; request/response with secrets redacted for API; query IDs/counts/balances for transactions; export/build artifact or monitoring trace where applicable.</t>
        </is>
      </c>
      <c r="R122" s="4" t="inlineStr">
        <is>
          <t>Planned / Not Yet Executed</t>
        </is>
      </c>
      <c r="S122" s="4" t="inlineStr"/>
      <c r="T122" s="4" t="inlineStr"/>
      <c r="U122" s="4" t="inlineStr"/>
      <c r="V122" s="4" t="inlineStr"/>
      <c r="W122" s="4" t="inlineStr"/>
      <c r="X122" s="4" t="inlineStr"/>
    </row>
    <row r="123" ht="72" customHeight="1">
      <c r="A123" s="4" t="inlineStr">
        <is>
          <t>INV-014</t>
        </is>
      </c>
      <c r="B123" s="4" t="inlineStr">
        <is>
          <t>Branch Inventory &amp; Procurement</t>
        </is>
      </c>
      <c r="C123" s="4" t="inlineStr">
        <is>
          <t>FR-I01, FR-I02, FR-I03, FR-I04</t>
        </is>
      </c>
      <c r="D123" s="4" t="inlineStr">
        <is>
          <t>Branch inventory reads and writes remain branch-scoped</t>
        </is>
      </c>
      <c r="E123" s="4" t="inlineStr">
        <is>
          <t>Verify, without assuming a pass result, that the release candidate correctly enforces: Branch inventory reads and writes remain branch-scoped.</t>
        </is>
      </c>
      <c r="F123" s="4" t="inlineStr">
        <is>
          <t>Authorization</t>
        </is>
      </c>
      <c r="G123" s="4" t="inlineStr">
        <is>
          <t>High</t>
        </is>
      </c>
      <c r="H123" s="4" t="inlineStr">
        <is>
          <t>High</t>
        </is>
      </c>
      <c r="I123" s="4" t="inlineStr">
        <is>
          <t>Branch inventory, supplier, approver and known balances exist.</t>
        </is>
      </c>
      <c r="J123" s="4" t="inlineStr">
        <is>
          <t>Use only named synthetic records from the Test Data Plan; capture generated IDs and baseline values in evidence. Never use real credentials, customer PII or secrets.</t>
        </is>
      </c>
      <c r="K123" s="4" t="inlineStr">
        <is>
          <t>Branch Storekeeper / Manager</t>
        </is>
      </c>
      <c r="L123" s="4" t="inlineStr">
        <is>
          <t>Restaurant A / Branch A1 unless the case explicitly tests another scope</t>
        </is>
      </c>
      <c r="M123" s="4" t="inlineStr">
        <is>
          <t>1. Sign in as Branch Storekeeper / Manager, or remain anonymous when the case requires it.
2. Record relevant UI, API and database baseline identifiers, statuses, counts and balances.
3. Use the documented page/API to verify that branch inventory reads and writes remain branch-scoped.
4. Refresh or repeat through an independent client where concurrency, polling or idempotency applies.
5. Compare the outcome, scope, audit fields and side effects with the expected result; capture evidence.</t>
        </is>
      </c>
      <c r="N123" s="4" t="inlineStr">
        <is>
          <t>The release candidate demonstrates the specified behavior exactly and only within the actor's authorized scope: Branch inventory reads and writes remain branch-scoped. No unrelated record changes.</t>
        </is>
      </c>
      <c r="O123" s="4" t="inlineStr">
        <is>
          <t>Reverse only synthetic changes through supported UI/API, or restore the approved isolated snapshot; confirm no residual locks, sessions, occupied tables or stock deltas.</t>
        </is>
      </c>
      <c r="P123" s="4" t="inlineStr">
        <is>
          <t>Yes</t>
        </is>
      </c>
      <c r="Q123" s="4" t="inlineStr">
        <is>
          <t>Timestamped screenshots for UI; request/response with secrets redacted for API; query IDs/counts/balances for transactions; export/build artifact or monitoring trace where applicable.</t>
        </is>
      </c>
      <c r="R123" s="4" t="inlineStr">
        <is>
          <t>Planned / Not Yet Executed</t>
        </is>
      </c>
      <c r="S123" s="4" t="inlineStr"/>
      <c r="T123" s="4" t="inlineStr"/>
      <c r="U123" s="4" t="inlineStr"/>
      <c r="V123" s="4" t="inlineStr"/>
      <c r="W123" s="4" t="inlineStr"/>
      <c r="X123" s="4" t="inlineStr"/>
    </row>
    <row r="124" ht="72" customHeight="1">
      <c r="A124" s="4" t="inlineStr">
        <is>
          <t>IREQ-001</t>
        </is>
      </c>
      <c r="B124" s="4" t="inlineStr">
        <is>
          <t>Legacy Item Requests</t>
        </is>
      </c>
      <c r="C124" s="4" t="inlineStr">
        <is>
          <t>FR-I05, NFR-08</t>
        </is>
      </c>
      <c r="D124" s="4" t="inlineStr">
        <is>
          <t>Generic Item Request remains separately accessible</t>
        </is>
      </c>
      <c r="E124" s="4" t="inlineStr">
        <is>
          <t>Verify, without assuming a pass result, that the release candidate correctly enforces: Generic Item Request remains separately accessible.</t>
        </is>
      </c>
      <c r="F124" s="4" t="inlineStr">
        <is>
          <t>Positive</t>
        </is>
      </c>
      <c r="G124" s="4" t="inlineStr">
        <is>
          <t>Medium</t>
        </is>
      </c>
      <c r="H124" s="4" t="inlineStr">
        <is>
          <t>Medium</t>
        </is>
      </c>
      <c r="I124" s="4" t="inlineStr">
        <is>
          <t>Generic Item Request feature and branch inventory exist independently of Main Store transfers.</t>
        </is>
      </c>
      <c r="J124" s="4" t="inlineStr">
        <is>
          <t>Use only named synthetic records from the Test Data Plan; capture generated IDs and baseline values in evidence. Never use real credentials, customer PII or secrets.</t>
        </is>
      </c>
      <c r="K124" s="4" t="inlineStr">
        <is>
          <t>Staff / Authorized approver / Storekeeper</t>
        </is>
      </c>
      <c r="L124" s="4" t="inlineStr">
        <is>
          <t>Restaurant A / Branch A1 unless the case explicitly tests another scope</t>
        </is>
      </c>
      <c r="M124" s="4" t="inlineStr">
        <is>
          <t>1. Sign in as Staff / Authorized approver / Storekeeper, or remain anonymous when the case requires it.
2. Record relevant UI, API and database baseline identifiers, statuses, counts and balances.
3. Use the documented page/API to verify that generic Item Request remains separately accessible.
4. Refresh or repeat through an independent client where concurrency, polling or idempotency applies.
5. Compare the outcome, scope, audit fields and side effects with the expected result; capture evidence.</t>
        </is>
      </c>
      <c r="N124" s="4" t="inlineStr">
        <is>
          <t>The release candidate demonstrates the specified behavior exactly and only within the actor's authorized scope: Generic Item Request remains separately accessible. No unrelated record changes.</t>
        </is>
      </c>
      <c r="O124" s="4" t="inlineStr">
        <is>
          <t>Reverse only synthetic changes through supported UI/API, or restore the approved isolated snapshot; confirm no residual locks, sessions, occupied tables or stock deltas.</t>
        </is>
      </c>
      <c r="P124" s="4" t="inlineStr">
        <is>
          <t>Yes</t>
        </is>
      </c>
      <c r="Q124" s="4" t="inlineStr">
        <is>
          <t>Timestamped screenshots for UI; request/response with secrets redacted for API; query IDs/counts/balances for transactions; export/build artifact or monitoring trace where applicable.</t>
        </is>
      </c>
      <c r="R124" s="4" t="inlineStr">
        <is>
          <t>Planned / Not Yet Executed</t>
        </is>
      </c>
      <c r="S124" s="4" t="inlineStr"/>
      <c r="T124" s="4" t="inlineStr"/>
      <c r="U124" s="4" t="inlineStr"/>
      <c r="V124" s="4" t="inlineStr"/>
      <c r="W124" s="4" t="inlineStr"/>
      <c r="X124" s="4" t="inlineStr"/>
    </row>
    <row r="125" ht="72" customHeight="1">
      <c r="A125" s="4" t="inlineStr">
        <is>
          <t>IREQ-002</t>
        </is>
      </c>
      <c r="B125" s="4" t="inlineStr">
        <is>
          <t>Legacy Item Requests</t>
        </is>
      </c>
      <c r="C125" s="4" t="inlineStr">
        <is>
          <t>FR-I05, NFR-08</t>
        </is>
      </c>
      <c r="D125" s="4" t="inlineStr">
        <is>
          <t>Staff submits a branch inventory item request</t>
        </is>
      </c>
      <c r="E125" s="4" t="inlineStr">
        <is>
          <t>Verify, without assuming a pass result, that the release candidate correctly enforces: Staff submits a branch inventory item request.</t>
        </is>
      </c>
      <c r="F125" s="4" t="inlineStr">
        <is>
          <t>Positive</t>
        </is>
      </c>
      <c r="G125" s="4" t="inlineStr">
        <is>
          <t>Medium</t>
        </is>
      </c>
      <c r="H125" s="4" t="inlineStr">
        <is>
          <t>Medium</t>
        </is>
      </c>
      <c r="I125" s="4" t="inlineStr">
        <is>
          <t>Generic Item Request feature and branch inventory exist independently of Main Store transfers.</t>
        </is>
      </c>
      <c r="J125" s="4" t="inlineStr">
        <is>
          <t>Use only named synthetic records from the Test Data Plan; capture generated IDs and baseline values in evidence. Never use real credentials, customer PII or secrets.</t>
        </is>
      </c>
      <c r="K125" s="4" t="inlineStr">
        <is>
          <t>Staff / Authorized approver / Storekeeper</t>
        </is>
      </c>
      <c r="L125" s="4" t="inlineStr">
        <is>
          <t>Restaurant A / Branch A1 unless the case explicitly tests another scope</t>
        </is>
      </c>
      <c r="M125" s="4" t="inlineStr">
        <is>
          <t>1. Sign in as Staff / Authorized approver / Storekeeper, or remain anonymous when the case requires it.
2. Record relevant UI, API and database baseline identifiers, statuses, counts and balances.
3. Use the documented page/API to verify that staff submits a branch inventory item request.
4. Refresh or repeat through an independent client where concurrency, polling or idempotency applies.
5. Compare the outcome, scope, audit fields and side effects with the expected result; capture evidence.</t>
        </is>
      </c>
      <c r="N125" s="4" t="inlineStr">
        <is>
          <t>The release candidate demonstrates the specified behavior exactly and only within the actor's authorized scope: Staff submits a branch inventory item request. No unrelated record changes.</t>
        </is>
      </c>
      <c r="O125" s="4" t="inlineStr">
        <is>
          <t>Reverse only synthetic changes through supported UI/API, or restore the approved isolated snapshot; confirm no residual locks, sessions, occupied tables or stock deltas.</t>
        </is>
      </c>
      <c r="P125" s="4" t="inlineStr">
        <is>
          <t>Yes</t>
        </is>
      </c>
      <c r="Q125" s="4" t="inlineStr">
        <is>
          <t>Timestamped screenshots for UI; request/response with secrets redacted for API; query IDs/counts/balances for transactions; export/build artifact or monitoring trace where applicable.</t>
        </is>
      </c>
      <c r="R125" s="4" t="inlineStr">
        <is>
          <t>Planned / Not Yet Executed</t>
        </is>
      </c>
      <c r="S125" s="4" t="inlineStr"/>
      <c r="T125" s="4" t="inlineStr"/>
      <c r="U125" s="4" t="inlineStr"/>
      <c r="V125" s="4" t="inlineStr"/>
      <c r="W125" s="4" t="inlineStr"/>
      <c r="X125" s="4" t="inlineStr"/>
    </row>
    <row r="126" ht="72" customHeight="1">
      <c r="A126" s="4" t="inlineStr">
        <is>
          <t>IREQ-003</t>
        </is>
      </c>
      <c r="B126" s="4" t="inlineStr">
        <is>
          <t>Legacy Item Requests</t>
        </is>
      </c>
      <c r="C126" s="4" t="inlineStr">
        <is>
          <t>FR-I05, NFR-08</t>
        </is>
      </c>
      <c r="D126" s="4" t="inlineStr">
        <is>
          <t>Authorized actor approves a pending Item Request</t>
        </is>
      </c>
      <c r="E126" s="4" t="inlineStr">
        <is>
          <t>Verify, without assuming a pass result, that the release candidate correctly enforces: Authorized actor approves a pending Item Request.</t>
        </is>
      </c>
      <c r="F126" s="4" t="inlineStr">
        <is>
          <t>Positive</t>
        </is>
      </c>
      <c r="G126" s="4" t="inlineStr">
        <is>
          <t>Medium</t>
        </is>
      </c>
      <c r="H126" s="4" t="inlineStr">
        <is>
          <t>Medium</t>
        </is>
      </c>
      <c r="I126" s="4" t="inlineStr">
        <is>
          <t>Generic Item Request feature and branch inventory exist independently of Main Store transfers.</t>
        </is>
      </c>
      <c r="J126" s="4" t="inlineStr">
        <is>
          <t>Use only named synthetic records from the Test Data Plan; capture generated IDs and baseline values in evidence. Never use real credentials, customer PII or secrets.</t>
        </is>
      </c>
      <c r="K126" s="4" t="inlineStr">
        <is>
          <t>Staff / Authorized approver / Storekeeper</t>
        </is>
      </c>
      <c r="L126" s="4" t="inlineStr">
        <is>
          <t>Restaurant A / Branch A1 unless the case explicitly tests another scope</t>
        </is>
      </c>
      <c r="M126" s="4" t="inlineStr">
        <is>
          <t>1. Sign in as Staff / Authorized approver / Storekeeper, or remain anonymous when the case requires it.
2. Record relevant UI, API and database baseline identifiers, statuses, counts and balances.
3. Use the documented page/API to verify that authorized actor approves a pending Item Request.
4. Refresh or repeat through an independent client where concurrency, polling or idempotency applies.
5. Compare the outcome, scope, audit fields and side effects with the expected result; capture evidence.</t>
        </is>
      </c>
      <c r="N126" s="4" t="inlineStr">
        <is>
          <t>The release candidate demonstrates the specified behavior exactly and only within the actor's authorized scope: Authorized actor approves a pending Item Request. No unrelated record changes.</t>
        </is>
      </c>
      <c r="O126" s="4" t="inlineStr">
        <is>
          <t>Reverse only synthetic changes through supported UI/API, or restore the approved isolated snapshot; confirm no residual locks, sessions, occupied tables or stock deltas.</t>
        </is>
      </c>
      <c r="P126" s="4" t="inlineStr">
        <is>
          <t>Yes</t>
        </is>
      </c>
      <c r="Q126" s="4" t="inlineStr">
        <is>
          <t>Timestamped screenshots for UI; request/response with secrets redacted for API; query IDs/counts/balances for transactions; export/build artifact or monitoring trace where applicable.</t>
        </is>
      </c>
      <c r="R126" s="4" t="inlineStr">
        <is>
          <t>Planned / Not Yet Executed</t>
        </is>
      </c>
      <c r="S126" s="4" t="inlineStr"/>
      <c r="T126" s="4" t="inlineStr"/>
      <c r="U126" s="4" t="inlineStr"/>
      <c r="V126" s="4" t="inlineStr"/>
      <c r="W126" s="4" t="inlineStr"/>
      <c r="X126" s="4" t="inlineStr"/>
    </row>
    <row r="127" ht="72" customHeight="1">
      <c r="A127" s="4" t="inlineStr">
        <is>
          <t>IREQ-004</t>
        </is>
      </c>
      <c r="B127" s="4" t="inlineStr">
        <is>
          <t>Legacy Item Requests</t>
        </is>
      </c>
      <c r="C127" s="4" t="inlineStr">
        <is>
          <t>FR-I05, NFR-08</t>
        </is>
      </c>
      <c r="D127" s="4" t="inlineStr">
        <is>
          <t>Authorized actor rejects a pending Item Request</t>
        </is>
      </c>
      <c r="E127" s="4" t="inlineStr">
        <is>
          <t>Verify, without assuming a pass result, that the release candidate correctly enforces: Authorized actor rejects a pending Item Request.</t>
        </is>
      </c>
      <c r="F127" s="4" t="inlineStr">
        <is>
          <t>Positive</t>
        </is>
      </c>
      <c r="G127" s="4" t="inlineStr">
        <is>
          <t>Medium</t>
        </is>
      </c>
      <c r="H127" s="4" t="inlineStr">
        <is>
          <t>Medium</t>
        </is>
      </c>
      <c r="I127" s="4" t="inlineStr">
        <is>
          <t>Generic Item Request feature and branch inventory exist independently of Main Store transfers.</t>
        </is>
      </c>
      <c r="J127" s="4" t="inlineStr">
        <is>
          <t>Use only named synthetic records from the Test Data Plan; capture generated IDs and baseline values in evidence. Never use real credentials, customer PII or secrets.</t>
        </is>
      </c>
      <c r="K127" s="4" t="inlineStr">
        <is>
          <t>Staff / Authorized approver / Storekeeper</t>
        </is>
      </c>
      <c r="L127" s="4" t="inlineStr">
        <is>
          <t>Restaurant A / Branch A1 unless the case explicitly tests another scope</t>
        </is>
      </c>
      <c r="M127" s="4" t="inlineStr">
        <is>
          <t>1. Sign in as Staff / Authorized approver / Storekeeper, or remain anonymous when the case requires it.
2. Record relevant UI, API and database baseline identifiers, statuses, counts and balances.
3. Use the documented page/API to verify that authorized actor rejects a pending Item Request.
4. Refresh or repeat through an independent client where concurrency, polling or idempotency applies.
5. Compare the outcome, scope, audit fields and side effects with the expected result; capture evidence.</t>
        </is>
      </c>
      <c r="N127" s="4" t="inlineStr">
        <is>
          <t>The release candidate demonstrates the specified behavior exactly and only within the actor's authorized scope: Authorized actor rejects a pending Item Request. No unrelated record changes.</t>
        </is>
      </c>
      <c r="O127" s="4" t="inlineStr">
        <is>
          <t>Reverse only synthetic changes through supported UI/API, or restore the approved isolated snapshot; confirm no residual locks, sessions, occupied tables or stock deltas.</t>
        </is>
      </c>
      <c r="P127" s="4" t="inlineStr">
        <is>
          <t>Yes</t>
        </is>
      </c>
      <c r="Q127" s="4" t="inlineStr">
        <is>
          <t>Timestamped screenshots for UI; request/response with secrets redacted for API; query IDs/counts/balances for transactions; export/build artifact or monitoring trace where applicable.</t>
        </is>
      </c>
      <c r="R127" s="4" t="inlineStr">
        <is>
          <t>Planned / Not Yet Executed</t>
        </is>
      </c>
      <c r="S127" s="4" t="inlineStr"/>
      <c r="T127" s="4" t="inlineStr"/>
      <c r="U127" s="4" t="inlineStr"/>
      <c r="V127" s="4" t="inlineStr"/>
      <c r="W127" s="4" t="inlineStr"/>
      <c r="X127" s="4" t="inlineStr"/>
    </row>
    <row r="128" ht="72" customHeight="1">
      <c r="A128" s="4" t="inlineStr">
        <is>
          <t>IREQ-005</t>
        </is>
      </c>
      <c r="B128" s="4" t="inlineStr">
        <is>
          <t>Legacy Item Requests</t>
        </is>
      </c>
      <c r="C128" s="4" t="inlineStr">
        <is>
          <t>FR-I05, NFR-08</t>
        </is>
      </c>
      <c r="D128" s="4" t="inlineStr">
        <is>
          <t>Authorized actor issues an approved Item Request</t>
        </is>
      </c>
      <c r="E128" s="4" t="inlineStr">
        <is>
          <t>Verify, without assuming a pass result, that the release candidate correctly enforces: Authorized actor issues an approved Item Request.</t>
        </is>
      </c>
      <c r="F128" s="4" t="inlineStr">
        <is>
          <t>Positive</t>
        </is>
      </c>
      <c r="G128" s="4" t="inlineStr">
        <is>
          <t>Medium</t>
        </is>
      </c>
      <c r="H128" s="4" t="inlineStr">
        <is>
          <t>Medium</t>
        </is>
      </c>
      <c r="I128" s="4" t="inlineStr">
        <is>
          <t>Generic Item Request feature and branch inventory exist independently of Main Store transfers.</t>
        </is>
      </c>
      <c r="J128" s="4" t="inlineStr">
        <is>
          <t>Use only named synthetic records from the Test Data Plan; capture generated IDs and baseline values in evidence. Never use real credentials, customer PII or secrets.</t>
        </is>
      </c>
      <c r="K128" s="4" t="inlineStr">
        <is>
          <t>Staff / Authorized approver / Storekeeper</t>
        </is>
      </c>
      <c r="L128" s="4" t="inlineStr">
        <is>
          <t>Restaurant A / Branch A1 unless the case explicitly tests another scope</t>
        </is>
      </c>
      <c r="M128" s="4" t="inlineStr">
        <is>
          <t>1. Sign in as Staff / Authorized approver / Storekeeper, or remain anonymous when the case requires it.
2. Record relevant UI, API and database baseline identifiers, statuses, counts and balances.
3. Use the documented page/API to verify that authorized actor issues an approved Item Request.
4. Refresh or repeat through an independent client where concurrency, polling or idempotency applies.
5. Compare the outcome, scope, audit fields and side effects with the expected result; capture evidence.</t>
        </is>
      </c>
      <c r="N128" s="4" t="inlineStr">
        <is>
          <t>The release candidate demonstrates the specified behavior exactly and only within the actor's authorized scope: Authorized actor issues an approved Item Request. No unrelated record changes.</t>
        </is>
      </c>
      <c r="O128" s="4" t="inlineStr">
        <is>
          <t>Reverse only synthetic changes through supported UI/API, or restore the approved isolated snapshot; confirm no residual locks, sessions, occupied tables or stock deltas.</t>
        </is>
      </c>
      <c r="P128" s="4" t="inlineStr">
        <is>
          <t>Yes</t>
        </is>
      </c>
      <c r="Q128" s="4" t="inlineStr">
        <is>
          <t>Timestamped screenshots for UI; request/response with secrets redacted for API; query IDs/counts/balances for transactions; export/build artifact or monitoring trace where applicable.</t>
        </is>
      </c>
      <c r="R128" s="4" t="inlineStr">
        <is>
          <t>Planned / Not Yet Executed</t>
        </is>
      </c>
      <c r="S128" s="4" t="inlineStr"/>
      <c r="T128" s="4" t="inlineStr"/>
      <c r="U128" s="4" t="inlineStr"/>
      <c r="V128" s="4" t="inlineStr"/>
      <c r="W128" s="4" t="inlineStr"/>
      <c r="X128" s="4" t="inlineStr"/>
    </row>
    <row r="129" ht="72" customHeight="1">
      <c r="A129" s="4" t="inlineStr">
        <is>
          <t>IREQ-006</t>
        </is>
      </c>
      <c r="B129" s="4" t="inlineStr">
        <is>
          <t>Legacy Item Requests</t>
        </is>
      </c>
      <c r="C129" s="4" t="inlineStr">
        <is>
          <t>FR-I05, NFR-08</t>
        </is>
      </c>
      <c r="D129" s="4" t="inlineStr">
        <is>
          <t>Invalid second decision or issue is rejected</t>
        </is>
      </c>
      <c r="E129" s="4" t="inlineStr">
        <is>
          <t>Verify, without assuming a pass result, that the release candidate correctly enforces: Invalid second decision or issue is rejected.</t>
        </is>
      </c>
      <c r="F129" s="4" t="inlineStr">
        <is>
          <t>Negative</t>
        </is>
      </c>
      <c r="G129" s="4" t="inlineStr">
        <is>
          <t>Medium</t>
        </is>
      </c>
      <c r="H129" s="4" t="inlineStr">
        <is>
          <t>Medium</t>
        </is>
      </c>
      <c r="I129" s="4" t="inlineStr">
        <is>
          <t>Generic Item Request feature and branch inventory exist independently of Main Store transfers.</t>
        </is>
      </c>
      <c r="J129" s="4" t="inlineStr">
        <is>
          <t>Use only named synthetic records from the Test Data Plan; capture generated IDs and baseline values in evidence. Never use real credentials, customer PII or secrets.</t>
        </is>
      </c>
      <c r="K129" s="4" t="inlineStr">
        <is>
          <t>Staff / Authorized approver / Storekeeper</t>
        </is>
      </c>
      <c r="L129" s="4" t="inlineStr">
        <is>
          <t>Restaurant A / Branch A1 unless the case explicitly tests another scope</t>
        </is>
      </c>
      <c r="M129" s="4" t="inlineStr">
        <is>
          <t>1. Sign in as Staff / Authorized approver / Storekeeper, or remain anonymous when the case requires it.
2. Record relevant UI, API and database baseline identifiers, statuses, counts and balances.
3. Use the documented page/API to verify that invalid second decision or issue is rejected.
4. Refresh or repeat through an independent client where concurrency, polling or idempotency applies.
5. Compare the outcome, scope, audit fields and side effects with the expected result; capture evidence.</t>
        </is>
      </c>
      <c r="N129" s="4" t="inlineStr">
        <is>
          <t>The operation is refused with a stable, safe error; no unauthorized or partial mutation occurs. Specifically: Invalid second decision or issue is rejected.</t>
        </is>
      </c>
      <c r="O129" s="4" t="inlineStr">
        <is>
          <t>Reverse only synthetic changes through supported UI/API, or restore the approved isolated snapshot; confirm no residual locks, sessions, occupied tables or stock deltas.</t>
        </is>
      </c>
      <c r="P129" s="4" t="inlineStr">
        <is>
          <t>Yes</t>
        </is>
      </c>
      <c r="Q129" s="4" t="inlineStr">
        <is>
          <t>Timestamped screenshots for UI; request/response with secrets redacted for API; query IDs/counts/balances for transactions; export/build artifact or monitoring trace where applicable.</t>
        </is>
      </c>
      <c r="R129" s="4" t="inlineStr">
        <is>
          <t>Planned / Not Yet Executed</t>
        </is>
      </c>
      <c r="S129" s="4" t="inlineStr"/>
      <c r="T129" s="4" t="inlineStr"/>
      <c r="U129" s="4" t="inlineStr"/>
      <c r="V129" s="4" t="inlineStr"/>
      <c r="W129" s="4" t="inlineStr"/>
      <c r="X129" s="4" t="inlineStr"/>
    </row>
    <row r="130" ht="72" customHeight="1">
      <c r="A130" s="4" t="inlineStr">
        <is>
          <t>IREQ-007</t>
        </is>
      </c>
      <c r="B130" s="4" t="inlineStr">
        <is>
          <t>Legacy Item Requests</t>
        </is>
      </c>
      <c r="C130" s="4" t="inlineStr">
        <is>
          <t>FR-I05, NFR-08</t>
        </is>
      </c>
      <c r="D130" s="4" t="inlineStr">
        <is>
          <t>Low-stock expiry-soon and expired badges are accurate</t>
        </is>
      </c>
      <c r="E130" s="4" t="inlineStr">
        <is>
          <t>Verify, without assuming a pass result, that the release candidate correctly enforces: Low-stock expiry-soon and expired badges are accurate.</t>
        </is>
      </c>
      <c r="F130" s="4" t="inlineStr">
        <is>
          <t>Positive</t>
        </is>
      </c>
      <c r="G130" s="4" t="inlineStr">
        <is>
          <t>High</t>
        </is>
      </c>
      <c r="H130" s="4" t="inlineStr">
        <is>
          <t>High</t>
        </is>
      </c>
      <c r="I130" s="4" t="inlineStr">
        <is>
          <t>Generic Item Request feature and branch inventory exist independently of Main Store transfers.</t>
        </is>
      </c>
      <c r="J130" s="4" t="inlineStr">
        <is>
          <t>Use only named synthetic records from the Test Data Plan; capture generated IDs and baseline values in evidence. Never use real credentials, customer PII or secrets.</t>
        </is>
      </c>
      <c r="K130" s="4" t="inlineStr">
        <is>
          <t>Staff / Authorized approver / Storekeeper</t>
        </is>
      </c>
      <c r="L130" s="4" t="inlineStr">
        <is>
          <t>Restaurant A / Branch A1 unless the case explicitly tests another scope</t>
        </is>
      </c>
      <c r="M130" s="4" t="inlineStr">
        <is>
          <t>1. Sign in as Staff / Authorized approver / Storekeeper, or remain anonymous when the case requires it.
2. Record relevant UI, API and database baseline identifiers, statuses, counts and balances.
3. Use the documented page/API to verify that low-stock expiry-soon and expired badges are accurate.
4. Refresh or repeat through an independent client where concurrency, polling or idempotency applies.
5. Compare the outcome, scope, audit fields and side effects with the expected result; capture evidence.</t>
        </is>
      </c>
      <c r="N130" s="4" t="inlineStr">
        <is>
          <t>The release candidate demonstrates the specified behavior exactly and only within the actor's authorized scope: Low-stock expiry-soon and expired badges are accurate. No unrelated record changes.</t>
        </is>
      </c>
      <c r="O130" s="4" t="inlineStr">
        <is>
          <t>Reverse only synthetic changes through supported UI/API, or restore the approved isolated snapshot; confirm no residual locks, sessions, occupied tables or stock deltas.</t>
        </is>
      </c>
      <c r="P130" s="4" t="inlineStr">
        <is>
          <t>Yes</t>
        </is>
      </c>
      <c r="Q130" s="4" t="inlineStr">
        <is>
          <t>Timestamped screenshots for UI; request/response with secrets redacted for API; query IDs/counts/balances for transactions; export/build artifact or monitoring trace where applicable.</t>
        </is>
      </c>
      <c r="R130" s="4" t="inlineStr">
        <is>
          <t>Planned / Not Yet Executed</t>
        </is>
      </c>
      <c r="S130" s="4" t="inlineStr"/>
      <c r="T130" s="4" t="inlineStr"/>
      <c r="U130" s="4" t="inlineStr"/>
      <c r="V130" s="4" t="inlineStr"/>
      <c r="W130" s="4" t="inlineStr"/>
      <c r="X130" s="4" t="inlineStr"/>
    </row>
    <row r="131" ht="72" customHeight="1">
      <c r="A131" s="4" t="inlineStr">
        <is>
          <t>IREQ-008</t>
        </is>
      </c>
      <c r="B131" s="4" t="inlineStr">
        <is>
          <t>Legacy Item Requests</t>
        </is>
      </c>
      <c r="C131" s="4" t="inlineStr">
        <is>
          <t>FR-I05, NFR-08</t>
        </is>
      </c>
      <c r="D131" s="4" t="inlineStr">
        <is>
          <t>Item Request records never appear as Branch Stock Transfers</t>
        </is>
      </c>
      <c r="E131" s="4" t="inlineStr">
        <is>
          <t>Verify, without assuming a pass result, that the release candidate correctly enforces: Item Request records never appear as Branch Stock Transfers.</t>
        </is>
      </c>
      <c r="F131" s="4" t="inlineStr">
        <is>
          <t>Positive</t>
        </is>
      </c>
      <c r="G131" s="4" t="inlineStr">
        <is>
          <t>High</t>
        </is>
      </c>
      <c r="H131" s="4" t="inlineStr">
        <is>
          <t>High</t>
        </is>
      </c>
      <c r="I131" s="4" t="inlineStr">
        <is>
          <t>Generic Item Request feature and branch inventory exist independently of Main Store transfers.</t>
        </is>
      </c>
      <c r="J131" s="4" t="inlineStr">
        <is>
          <t>Use only named synthetic records from the Test Data Plan; capture generated IDs and baseline values in evidence. Never use real credentials, customer PII or secrets.</t>
        </is>
      </c>
      <c r="K131" s="4" t="inlineStr">
        <is>
          <t>Staff / Authorized approver / Storekeeper</t>
        </is>
      </c>
      <c r="L131" s="4" t="inlineStr">
        <is>
          <t>Restaurant A / Branch A1 unless the case explicitly tests another scope</t>
        </is>
      </c>
      <c r="M131" s="4" t="inlineStr">
        <is>
          <t>1. Sign in as Staff / Authorized approver / Storekeeper, or remain anonymous when the case requires it.
2. Record relevant UI, API and database baseline identifiers, statuses, counts and balances.
3. Use the documented page/API to verify that item Request records never appear as Branch Stock Transfers.
4. Refresh or repeat through an independent client where concurrency, polling or idempotency applies.
5. Compare the outcome, scope, audit fields and side effects with the expected result; capture evidence.</t>
        </is>
      </c>
      <c r="N131" s="4" t="inlineStr">
        <is>
          <t>The release candidate demonstrates the specified behavior exactly and only within the actor's authorized scope: Item Request records never appear as Branch Stock Transfers. No unrelated record changes.</t>
        </is>
      </c>
      <c r="O131" s="4" t="inlineStr">
        <is>
          <t>Reverse only synthetic changes through supported UI/API, or restore the approved isolated snapshot; confirm no residual locks, sessions, occupied tables or stock deltas.</t>
        </is>
      </c>
      <c r="P131" s="4" t="inlineStr">
        <is>
          <t>Yes</t>
        </is>
      </c>
      <c r="Q131" s="4" t="inlineStr">
        <is>
          <t>Timestamped screenshots for UI; request/response with secrets redacted for API; query IDs/counts/balances for transactions; export/build artifact or monitoring trace where applicable.</t>
        </is>
      </c>
      <c r="R131" s="4" t="inlineStr">
        <is>
          <t>Planned / Not Yet Executed</t>
        </is>
      </c>
      <c r="S131" s="4" t="inlineStr"/>
      <c r="T131" s="4" t="inlineStr"/>
      <c r="U131" s="4" t="inlineStr"/>
      <c r="V131" s="4" t="inlineStr"/>
      <c r="W131" s="4" t="inlineStr"/>
      <c r="X131" s="4" t="inlineStr"/>
    </row>
    <row r="132" ht="72" customHeight="1">
      <c r="A132" s="4" t="inlineStr">
        <is>
          <t>MSTORE-001</t>
        </is>
      </c>
      <c r="B132" s="4" t="inlineStr">
        <is>
          <t>Main Store &amp; Branch Stock Requests</t>
        </is>
      </c>
      <c r="C132" s="4" t="inlineStr">
        <is>
          <t>FR-I06, FR-I07, FR-I08, FR-I09, FR-I10, FR-I11, NFR-09, NFR-10</t>
        </is>
      </c>
      <c r="D132" s="4" t="inlineStr">
        <is>
          <t>Main Store receipt increases restaurant central stock with audit</t>
        </is>
      </c>
      <c r="E132" s="4" t="inlineStr">
        <is>
          <t>Verify, without assuming a pass result, that the release candidate correctly enforces: Main Store receipt increases restaurant central stock with audit.</t>
        </is>
      </c>
      <c r="F132" s="4" t="inlineStr">
        <is>
          <t>Positive</t>
        </is>
      </c>
      <c r="G132" s="4" t="inlineStr">
        <is>
          <t>High</t>
        </is>
      </c>
      <c r="H132" s="4" t="inlineStr">
        <is>
          <t>High</t>
        </is>
      </c>
      <c r="I132" s="4" t="inlineStr">
        <is>
          <t>Two restaurants, two Branch A locations, scoped managers, owner, branch storekeepers and a branchless Main Store Storekeeper exist; all balances are captured.</t>
        </is>
      </c>
      <c r="J132" s="4" t="inlineStr">
        <is>
          <t>Use only named synthetic records from the Test Data Plan; capture generated IDs and baseline values in evidence. Never use real credentials, customer PII or secrets.</t>
        </is>
      </c>
      <c r="K132" s="4" t="inlineStr">
        <is>
          <t>Branch Storekeeper / Manager / Owner / Main Store Storekeeper</t>
        </is>
      </c>
      <c r="L132" s="4" t="inlineStr">
        <is>
          <t>Restaurant A / Branch A1 and A2; Restaurant B / Branch B1</t>
        </is>
      </c>
      <c r="M132" s="4" t="inlineStr">
        <is>
          <t>1. Sign in as Branch Storekeeper / Manager / Owner / Main Store Storekeeper, or remain anonymous when the case requires it.
2. Record relevant UI, API and database baseline identifiers, statuses, counts and balances.
3. Use the documented page/API to verify that main Store receipt increases restaurant central stock with audit.
4. Refresh or repeat through an independent client where concurrency, polling or idempotency applies.
5. Compare the outcome, scope, audit fields and side effects with the expected result; capture evidence.</t>
        </is>
      </c>
      <c r="N132" s="4" t="inlineStr">
        <is>
          <t>The release candidate demonstrates the specified behavior exactly and only within the actor's authorized scope: Main Store receipt increases restaurant central stock with audit. No unrelated record changes.</t>
        </is>
      </c>
      <c r="O132" s="4" t="inlineStr">
        <is>
          <t>Reverse only synthetic changes through supported UI/API, or restore the approved isolated snapshot; confirm no residual locks, sessions, occupied tables or stock deltas.</t>
        </is>
      </c>
      <c r="P132" s="4" t="inlineStr">
        <is>
          <t>Yes</t>
        </is>
      </c>
      <c r="Q132" s="4" t="inlineStr">
        <is>
          <t>Timestamped screenshots for UI; request/response with secrets redacted for API; query IDs/counts/balances for transactions; export/build artifact or monitoring trace where applicable.</t>
        </is>
      </c>
      <c r="R132" s="4" t="inlineStr">
        <is>
          <t>Planned / Not Yet Executed</t>
        </is>
      </c>
      <c r="S132" s="4" t="inlineStr"/>
      <c r="T132" s="4" t="inlineStr"/>
      <c r="U132" s="4" t="inlineStr"/>
      <c r="V132" s="4" t="inlineStr"/>
      <c r="W132" s="4" t="inlineStr"/>
      <c r="X132" s="4" t="inlineStr"/>
    </row>
    <row r="133" ht="72" customHeight="1">
      <c r="A133" s="4" t="inlineStr">
        <is>
          <t>MSTORE-002</t>
        </is>
      </c>
      <c r="B133" s="4" t="inlineStr">
        <is>
          <t>Main Store &amp; Branch Stock Requests</t>
        </is>
      </c>
      <c r="C133" s="4" t="inlineStr">
        <is>
          <t>FR-I06, FR-I07, FR-I08, FR-I09, FR-I10, FR-I11, NFR-09, NFR-10</t>
        </is>
      </c>
      <c r="D133" s="4" t="inlineStr">
        <is>
          <t>Branch Storekeeper submits multi-line request for assigned branch</t>
        </is>
      </c>
      <c r="E133" s="4" t="inlineStr">
        <is>
          <t>Verify, without assuming a pass result, that the release candidate correctly enforces: Branch Storekeeper submits multi-line request for assigned branch.</t>
        </is>
      </c>
      <c r="F133" s="4" t="inlineStr">
        <is>
          <t>Positive</t>
        </is>
      </c>
      <c r="G133" s="4" t="inlineStr">
        <is>
          <t>Medium</t>
        </is>
      </c>
      <c r="H133" s="4" t="inlineStr">
        <is>
          <t>Medium</t>
        </is>
      </c>
      <c r="I133" s="4" t="inlineStr">
        <is>
          <t>Two restaurants, two Branch A locations, scoped managers, owner, branch storekeepers and a branchless Main Store Storekeeper exist; all balances are captured.</t>
        </is>
      </c>
      <c r="J133" s="4" t="inlineStr">
        <is>
          <t>Use only named synthetic records from the Test Data Plan; capture generated IDs and baseline values in evidence. Never use real credentials, customer PII or secrets.</t>
        </is>
      </c>
      <c r="K133" s="4" t="inlineStr">
        <is>
          <t>Branch Storekeeper / Manager / Owner / Main Store Storekeeper</t>
        </is>
      </c>
      <c r="L133" s="4" t="inlineStr">
        <is>
          <t>Restaurant A / Branch A1 and A2; Restaurant B / Branch B1</t>
        </is>
      </c>
      <c r="M133" s="4" t="inlineStr">
        <is>
          <t>1. Sign in as Branch Storekeeper / Manager / Owner / Main Store Storekeeper, or remain anonymous when the case requires it.
2. Record relevant UI, API and database baseline identifiers, statuses, counts and balances.
3. Use the documented page/API to verify that branch Storekeeper submits multi-line request for assigned branch.
4. Refresh or repeat through an independent client where concurrency, polling or idempotency applies.
5. Compare the outcome, scope, audit fields and side effects with the expected result; capture evidence.</t>
        </is>
      </c>
      <c r="N133" s="4" t="inlineStr">
        <is>
          <t>The release candidate demonstrates the specified behavior exactly and only within the actor's authorized scope: Branch Storekeeper submits multi-line request for assigned branch. No unrelated record changes.</t>
        </is>
      </c>
      <c r="O133" s="4" t="inlineStr">
        <is>
          <t>Reverse only synthetic changes through supported UI/API, or restore the approved isolated snapshot; confirm no residual locks, sessions, occupied tables or stock deltas.</t>
        </is>
      </c>
      <c r="P133" s="4" t="inlineStr">
        <is>
          <t>Yes</t>
        </is>
      </c>
      <c r="Q133" s="4" t="inlineStr">
        <is>
          <t>Timestamped screenshots for UI; request/response with secrets redacted for API; query IDs/counts/balances for transactions; export/build artifact or monitoring trace where applicable.</t>
        </is>
      </c>
      <c r="R133" s="4" t="inlineStr">
        <is>
          <t>Planned / Not Yet Executed</t>
        </is>
      </c>
      <c r="S133" s="4" t="inlineStr"/>
      <c r="T133" s="4" t="inlineStr"/>
      <c r="U133" s="4" t="inlineStr"/>
      <c r="V133" s="4" t="inlineStr"/>
      <c r="W133" s="4" t="inlineStr"/>
      <c r="X133" s="4" t="inlineStr"/>
    </row>
    <row r="134" ht="72" customHeight="1">
      <c r="A134" s="4" t="inlineStr">
        <is>
          <t>MSTORE-003</t>
        </is>
      </c>
      <c r="B134" s="4" t="inlineStr">
        <is>
          <t>Main Store &amp; Branch Stock Requests</t>
        </is>
      </c>
      <c r="C134" s="4" t="inlineStr">
        <is>
          <t>FR-I06, FR-I07, FR-I08, FR-I09, FR-I10, FR-I11, NFR-09, NFR-10</t>
        </is>
      </c>
      <c r="D134" s="4" t="inlineStr">
        <is>
          <t>Zero negative and malformed requested quantities are rejected</t>
        </is>
      </c>
      <c r="E134" s="4" t="inlineStr">
        <is>
          <t>Verify, without assuming a pass result, that the release candidate correctly enforces: Zero negative and malformed requested quantities are rejected.</t>
        </is>
      </c>
      <c r="F134" s="4" t="inlineStr">
        <is>
          <t>Negative</t>
        </is>
      </c>
      <c r="G134" s="4" t="inlineStr">
        <is>
          <t>Medium</t>
        </is>
      </c>
      <c r="H134" s="4" t="inlineStr">
        <is>
          <t>Medium</t>
        </is>
      </c>
      <c r="I134" s="4" t="inlineStr">
        <is>
          <t>Two restaurants, two Branch A locations, scoped managers, owner, branch storekeepers and a branchless Main Store Storekeeper exist; all balances are captured.</t>
        </is>
      </c>
      <c r="J134" s="4" t="inlineStr">
        <is>
          <t>Use only named synthetic records from the Test Data Plan; capture generated IDs and baseline values in evidence. Never use real credentials, customer PII or secrets.</t>
        </is>
      </c>
      <c r="K134" s="4" t="inlineStr">
        <is>
          <t>Branch Storekeeper / Manager / Owner / Main Store Storekeeper</t>
        </is>
      </c>
      <c r="L134" s="4" t="inlineStr">
        <is>
          <t>Restaurant A / Branch A1 and A2; Restaurant B / Branch B1</t>
        </is>
      </c>
      <c r="M134" s="4" t="inlineStr">
        <is>
          <t>1. Sign in as Branch Storekeeper / Manager / Owner / Main Store Storekeeper, or remain anonymous when the case requires it.
2. Record relevant UI, API and database baseline identifiers, statuses, counts and balances.
3. Use the documented page/API to verify that zero negative and malformed requested quantities are rejected.
4. Refresh or repeat through an independent client where concurrency, polling or idempotency applies.
5. Compare the outcome, scope, audit fields and side effects with the expected result; capture evidence.</t>
        </is>
      </c>
      <c r="N134" s="4" t="inlineStr">
        <is>
          <t>The operation is refused with a stable, safe error; no unauthorized or partial mutation occurs. Specifically: Zero negative and malformed requested quantities are rejected.</t>
        </is>
      </c>
      <c r="O134" s="4" t="inlineStr">
        <is>
          <t>Reverse only synthetic changes through supported UI/API, or restore the approved isolated snapshot; confirm no residual locks, sessions, occupied tables or stock deltas.</t>
        </is>
      </c>
      <c r="P134" s="4" t="inlineStr">
        <is>
          <t>Yes</t>
        </is>
      </c>
      <c r="Q134" s="4" t="inlineStr">
        <is>
          <t>Timestamped screenshots for UI; request/response with secrets redacted for API; query IDs/counts/balances for transactions; export/build artifact or monitoring trace where applicable.</t>
        </is>
      </c>
      <c r="R134" s="4" t="inlineStr">
        <is>
          <t>Planned / Not Yet Executed</t>
        </is>
      </c>
      <c r="S134" s="4" t="inlineStr"/>
      <c r="T134" s="4" t="inlineStr"/>
      <c r="U134" s="4" t="inlineStr"/>
      <c r="V134" s="4" t="inlineStr"/>
      <c r="W134" s="4" t="inlineStr"/>
      <c r="X134" s="4" t="inlineStr"/>
    </row>
    <row r="135" ht="72" customHeight="1">
      <c r="A135" s="4" t="inlineStr">
        <is>
          <t>MSTORE-004</t>
        </is>
      </c>
      <c r="B135" s="4" t="inlineStr">
        <is>
          <t>Main Store &amp; Branch Stock Requests</t>
        </is>
      </c>
      <c r="C135" s="4" t="inlineStr">
        <is>
          <t>FR-I06, FR-I07, FR-I08, FR-I09, FR-I10, FR-I11, NFR-09, NFR-10</t>
        </is>
      </c>
      <c r="D135" s="4" t="inlineStr">
        <is>
          <t>Request cannot select another restaurant's Main Store item</t>
        </is>
      </c>
      <c r="E135" s="4" t="inlineStr">
        <is>
          <t>Verify, without assuming a pass result, that the release candidate correctly enforces: Request cannot select another restaurant's Main Store item.</t>
        </is>
      </c>
      <c r="F135" s="4" t="inlineStr">
        <is>
          <t>Negative</t>
        </is>
      </c>
      <c r="G135" s="4" t="inlineStr">
        <is>
          <t>Medium</t>
        </is>
      </c>
      <c r="H135" s="4" t="inlineStr">
        <is>
          <t>Medium</t>
        </is>
      </c>
      <c r="I135" s="4" t="inlineStr">
        <is>
          <t>Two restaurants, two Branch A locations, scoped managers, owner, branch storekeepers and a branchless Main Store Storekeeper exist; all balances are captured.</t>
        </is>
      </c>
      <c r="J135" s="4" t="inlineStr">
        <is>
          <t>Use only named synthetic records from the Test Data Plan; capture generated IDs and baseline values in evidence. Never use real credentials, customer PII or secrets.</t>
        </is>
      </c>
      <c r="K135" s="4" t="inlineStr">
        <is>
          <t>Branch Storekeeper / Manager / Owner / Main Store Storekeeper</t>
        </is>
      </c>
      <c r="L135" s="4" t="inlineStr">
        <is>
          <t>Restaurant A / Branch A1 and A2; Restaurant B / Branch B1</t>
        </is>
      </c>
      <c r="M135" s="4" t="inlineStr">
        <is>
          <t>1. Sign in as Branch Storekeeper / Manager / Owner / Main Store Storekeeper, or remain anonymous when the case requires it.
2. Record relevant UI, API and database baseline identifiers, statuses, counts and balances.
3. Use the documented page/API to verify that request cannot select another restaurant's Main Store item.
4. Refresh or repeat through an independent client where concurrency, polling or idempotency applies.
5. Compare the outcome, scope, audit fields and side effects with the expected result; capture evidence.</t>
        </is>
      </c>
      <c r="N135" s="4" t="inlineStr">
        <is>
          <t>The operation is refused with a stable, safe error; no unauthorized or partial mutation occurs. Specifically: Request cannot select another restaurant's Main Store item.</t>
        </is>
      </c>
      <c r="O135" s="4" t="inlineStr">
        <is>
          <t>Reverse only synthetic changes through supported UI/API, or restore the approved isolated snapshot; confirm no residual locks, sessions, occupied tables or stock deltas.</t>
        </is>
      </c>
      <c r="P135" s="4" t="inlineStr">
        <is>
          <t>Yes</t>
        </is>
      </c>
      <c r="Q135" s="4" t="inlineStr">
        <is>
          <t>Timestamped screenshots for UI; request/response with secrets redacted for API; query IDs/counts/balances for transactions; export/build artifact or monitoring trace where applicable.</t>
        </is>
      </c>
      <c r="R135" s="4" t="inlineStr">
        <is>
          <t>Planned / Not Yet Executed</t>
        </is>
      </c>
      <c r="S135" s="4" t="inlineStr"/>
      <c r="T135" s="4" t="inlineStr"/>
      <c r="U135" s="4" t="inlineStr"/>
      <c r="V135" s="4" t="inlineStr"/>
      <c r="W135" s="4" t="inlineStr"/>
      <c r="X135" s="4" t="inlineStr"/>
    </row>
    <row r="136" ht="72" customHeight="1">
      <c r="A136" s="4" t="inlineStr">
        <is>
          <t>MSTORE-005</t>
        </is>
      </c>
      <c r="B136" s="4" t="inlineStr">
        <is>
          <t>Main Store &amp; Branch Stock Requests</t>
        </is>
      </c>
      <c r="C136" s="4" t="inlineStr">
        <is>
          <t>FR-I06, FR-I07, FR-I08, FR-I09, FR-I10, FR-I11, NFR-09, NFR-10</t>
        </is>
      </c>
      <c r="D136" s="4" t="inlineStr">
        <is>
          <t>Request destination cannot be overridden from assigned branch</t>
        </is>
      </c>
      <c r="E136" s="4" t="inlineStr">
        <is>
          <t>Verify, without assuming a pass result, that the release candidate correctly enforces: Request destination cannot be overridden from assigned branch.</t>
        </is>
      </c>
      <c r="F136" s="4" t="inlineStr">
        <is>
          <t>Negative</t>
        </is>
      </c>
      <c r="G136" s="4" t="inlineStr">
        <is>
          <t>Medium</t>
        </is>
      </c>
      <c r="H136" s="4" t="inlineStr">
        <is>
          <t>Medium</t>
        </is>
      </c>
      <c r="I136" s="4" t="inlineStr">
        <is>
          <t>Two restaurants, two Branch A locations, scoped managers, owner, branch storekeepers and a branchless Main Store Storekeeper exist; all balances are captured.</t>
        </is>
      </c>
      <c r="J136" s="4" t="inlineStr">
        <is>
          <t>Use only named synthetic records from the Test Data Plan; capture generated IDs and baseline values in evidence. Never use real credentials, customer PII or secrets.</t>
        </is>
      </c>
      <c r="K136" s="4" t="inlineStr">
        <is>
          <t>Branch Storekeeper / Manager / Owner / Main Store Storekeeper</t>
        </is>
      </c>
      <c r="L136" s="4" t="inlineStr">
        <is>
          <t>Restaurant A / Branch A1 and A2; Restaurant B / Branch B1</t>
        </is>
      </c>
      <c r="M136" s="4" t="inlineStr">
        <is>
          <t>1. Sign in as Branch Storekeeper / Manager / Owner / Main Store Storekeeper, or remain anonymous when the case requires it.
2. Record relevant UI, API and database baseline identifiers, statuses, counts and balances.
3. Use the documented page/API to verify that request destination cannot be overridden from assigned branch.
4. Refresh or repeat through an independent client where concurrency, polling or idempotency applies.
5. Compare the outcome, scope, audit fields and side effects with the expected result; capture evidence.</t>
        </is>
      </c>
      <c r="N136" s="4" t="inlineStr">
        <is>
          <t>The operation is refused with a stable, safe error; no unauthorized or partial mutation occurs. Specifically: Request destination cannot be overridden from assigned branch.</t>
        </is>
      </c>
      <c r="O136" s="4" t="inlineStr">
        <is>
          <t>Reverse only synthetic changes through supported UI/API, or restore the approved isolated snapshot; confirm no residual locks, sessions, occupied tables or stock deltas.</t>
        </is>
      </c>
      <c r="P136" s="4" t="inlineStr">
        <is>
          <t>Yes</t>
        </is>
      </c>
      <c r="Q136" s="4" t="inlineStr">
        <is>
          <t>Timestamped screenshots for UI; request/response with secrets redacted for API; query IDs/counts/balances for transactions; export/build artifact or monitoring trace where applicable.</t>
        </is>
      </c>
      <c r="R136" s="4" t="inlineStr">
        <is>
          <t>Planned / Not Yet Executed</t>
        </is>
      </c>
      <c r="S136" s="4" t="inlineStr"/>
      <c r="T136" s="4" t="inlineStr"/>
      <c r="U136" s="4" t="inlineStr"/>
      <c r="V136" s="4" t="inlineStr"/>
      <c r="W136" s="4" t="inlineStr"/>
      <c r="X136" s="4" t="inlineStr"/>
    </row>
    <row r="137" ht="72" customHeight="1">
      <c r="A137" s="4" t="inlineStr">
        <is>
          <t>MSTORE-006</t>
        </is>
      </c>
      <c r="B137" s="4" t="inlineStr">
        <is>
          <t>Main Store &amp; Branch Stock Requests</t>
        </is>
      </c>
      <c r="C137" s="4" t="inlineStr">
        <is>
          <t>FR-I06, FR-I07, FR-I08, FR-I09, FR-I10, FR-I11, NFR-09, NFR-10</t>
        </is>
      </c>
      <c r="D137" s="4" t="inlineStr">
        <is>
          <t>Request creation causes no stock movement or reservation</t>
        </is>
      </c>
      <c r="E137" s="4" t="inlineStr">
        <is>
          <t>Verify, without assuming a pass result, that the release candidate correctly enforces: Request creation causes no stock movement or reservation.</t>
        </is>
      </c>
      <c r="F137" s="4" t="inlineStr">
        <is>
          <t>Positive</t>
        </is>
      </c>
      <c r="G137" s="4" t="inlineStr">
        <is>
          <t>High</t>
        </is>
      </c>
      <c r="H137" s="4" t="inlineStr">
        <is>
          <t>High</t>
        </is>
      </c>
      <c r="I137" s="4" t="inlineStr">
        <is>
          <t>Two restaurants, two Branch A locations, scoped managers, owner, branch storekeepers and a branchless Main Store Storekeeper exist; all balances are captured.</t>
        </is>
      </c>
      <c r="J137" s="4" t="inlineStr">
        <is>
          <t>Use only named synthetic records from the Test Data Plan; capture generated IDs and baseline values in evidence. Never use real credentials, customer PII or secrets.</t>
        </is>
      </c>
      <c r="K137" s="4" t="inlineStr">
        <is>
          <t>Branch Storekeeper / Manager / Owner / Main Store Storekeeper</t>
        </is>
      </c>
      <c r="L137" s="4" t="inlineStr">
        <is>
          <t>Restaurant A / Branch A1 and A2; Restaurant B / Branch B1</t>
        </is>
      </c>
      <c r="M137" s="4" t="inlineStr">
        <is>
          <t>1. Sign in as Branch Storekeeper / Manager / Owner / Main Store Storekeeper, or remain anonymous when the case requires it.
2. Record relevant UI, API and database baseline identifiers, statuses, counts and balances.
3. Use the documented page/API to verify that request creation causes no stock movement or reservation.
4. Refresh or repeat through an independent client where concurrency, polling or idempotency applies.
5. Compare the outcome, scope, audit fields and side effects with the expected result; capture evidence.</t>
        </is>
      </c>
      <c r="N137" s="4" t="inlineStr">
        <is>
          <t>Status and audit actor/time update as specified, while Main Store and branch balances and movement/adjustment counts remain exactly unchanged.</t>
        </is>
      </c>
      <c r="O137" s="4" t="inlineStr">
        <is>
          <t>Reverse only synthetic changes through supported UI/API, or restore the approved isolated snapshot; confirm no residual locks, sessions, occupied tables or stock deltas.</t>
        </is>
      </c>
      <c r="P137" s="4" t="inlineStr">
        <is>
          <t>Yes</t>
        </is>
      </c>
      <c r="Q137" s="4" t="inlineStr">
        <is>
          <t>Timestamped screenshots for UI; request/response with secrets redacted for API; query IDs/counts/balances for transactions; export/build artifact or monitoring trace where applicable.</t>
        </is>
      </c>
      <c r="R137" s="4" t="inlineStr">
        <is>
          <t>Planned / Not Yet Executed</t>
        </is>
      </c>
      <c r="S137" s="4" t="inlineStr"/>
      <c r="T137" s="4" t="inlineStr"/>
      <c r="U137" s="4" t="inlineStr"/>
      <c r="V137" s="4" t="inlineStr"/>
      <c r="W137" s="4" t="inlineStr"/>
      <c r="X137" s="4" t="inlineStr"/>
    </row>
    <row r="138" ht="72" customHeight="1">
      <c r="A138" s="4" t="inlineStr">
        <is>
          <t>MSTORE-007</t>
        </is>
      </c>
      <c r="B138" s="4" t="inlineStr">
        <is>
          <t>Main Store &amp; Branch Stock Requests</t>
        </is>
      </c>
      <c r="C138" s="4" t="inlineStr">
        <is>
          <t>FR-I06, FR-I07, FR-I08, FR-I09, FR-I10, FR-I11, NFR-09, NFR-10</t>
        </is>
      </c>
      <c r="D138" s="4" t="inlineStr">
        <is>
          <t>Destination manager approves pending request without stock mutation</t>
        </is>
      </c>
      <c r="E138" s="4" t="inlineStr">
        <is>
          <t>Verify, without assuming a pass result, that the release candidate correctly enforces: Destination manager approves pending request without stock mutation.</t>
        </is>
      </c>
      <c r="F138" s="4" t="inlineStr">
        <is>
          <t>Negative</t>
        </is>
      </c>
      <c r="G138" s="4" t="inlineStr">
        <is>
          <t>High</t>
        </is>
      </c>
      <c r="H138" s="4" t="inlineStr">
        <is>
          <t>High</t>
        </is>
      </c>
      <c r="I138" s="4" t="inlineStr">
        <is>
          <t>Two restaurants, two Branch A locations, scoped managers, owner, branch storekeepers and a branchless Main Store Storekeeper exist; all balances are captured.</t>
        </is>
      </c>
      <c r="J138" s="4" t="inlineStr">
        <is>
          <t>Use only named synthetic records from the Test Data Plan; capture generated IDs and baseline values in evidence. Never use real credentials, customer PII or secrets.</t>
        </is>
      </c>
      <c r="K138" s="4" t="inlineStr">
        <is>
          <t>Branch Storekeeper / Manager / Owner / Main Store Storekeeper</t>
        </is>
      </c>
      <c r="L138" s="4" t="inlineStr">
        <is>
          <t>Restaurant A / Branch A1 and A2; Restaurant B / Branch B1</t>
        </is>
      </c>
      <c r="M138" s="4" t="inlineStr">
        <is>
          <t>1. Sign in as Branch Storekeeper / Manager / Owner / Main Store Storekeeper, or remain anonymous when the case requires it.
2. Record relevant UI, API and database baseline identifiers, statuses, counts and balances.
3. Use the documented page/API to verify that destination manager approves pending request without stock mutation.
4. Refresh or repeat through an independent client where concurrency, polling or idempotency applies.
5. Compare the outcome, scope, audit fields and side effects with the expected result; capture evidence.</t>
        </is>
      </c>
      <c r="N138" s="4" t="inlineStr">
        <is>
          <t>The release candidate demonstrates the specified behavior exactly and only within the actor's authorized scope: Destination manager approves pending request without stock mutation. No unrelated record changes.</t>
        </is>
      </c>
      <c r="O138" s="4" t="inlineStr">
        <is>
          <t>Reverse only synthetic changes through supported UI/API, or restore the approved isolated snapshot; confirm no residual locks, sessions, occupied tables or stock deltas.</t>
        </is>
      </c>
      <c r="P138" s="4" t="inlineStr">
        <is>
          <t>Yes</t>
        </is>
      </c>
      <c r="Q138" s="4" t="inlineStr">
        <is>
          <t>Timestamped screenshots for UI; request/response with secrets redacted for API; query IDs/counts/balances for transactions; export/build artifact or monitoring trace where applicable.</t>
        </is>
      </c>
      <c r="R138" s="4" t="inlineStr">
        <is>
          <t>Planned / Not Yet Executed</t>
        </is>
      </c>
      <c r="S138" s="4" t="inlineStr"/>
      <c r="T138" s="4" t="inlineStr"/>
      <c r="U138" s="4" t="inlineStr"/>
      <c r="V138" s="4" t="inlineStr"/>
      <c r="W138" s="4" t="inlineStr"/>
      <c r="X138" s="4" t="inlineStr"/>
    </row>
    <row r="139" ht="72" customHeight="1">
      <c r="A139" s="4" t="inlineStr">
        <is>
          <t>MSTORE-008</t>
        </is>
      </c>
      <c r="B139" s="4" t="inlineStr">
        <is>
          <t>Main Store &amp; Branch Stock Requests</t>
        </is>
      </c>
      <c r="C139" s="4" t="inlineStr">
        <is>
          <t>FR-I06, FR-I07, FR-I08, FR-I09, FR-I10, FR-I11, NFR-09, NFR-10</t>
        </is>
      </c>
      <c r="D139" s="4" t="inlineStr">
        <is>
          <t>Same-restaurant owner approves pending request without stock mutation</t>
        </is>
      </c>
      <c r="E139" s="4" t="inlineStr">
        <is>
          <t>Verify, without assuming a pass result, that the release candidate correctly enforces: Same-restaurant owner approves pending request without stock mutation.</t>
        </is>
      </c>
      <c r="F139" s="4" t="inlineStr">
        <is>
          <t>Negative</t>
        </is>
      </c>
      <c r="G139" s="4" t="inlineStr">
        <is>
          <t>High</t>
        </is>
      </c>
      <c r="H139" s="4" t="inlineStr">
        <is>
          <t>High</t>
        </is>
      </c>
      <c r="I139" s="4" t="inlineStr">
        <is>
          <t>Two restaurants, two Branch A locations, scoped managers, owner, branch storekeepers and a branchless Main Store Storekeeper exist; all balances are captured.</t>
        </is>
      </c>
      <c r="J139" s="4" t="inlineStr">
        <is>
          <t>Use only named synthetic records from the Test Data Plan; capture generated IDs and baseline values in evidence. Never use real credentials, customer PII or secrets.</t>
        </is>
      </c>
      <c r="K139" s="4" t="inlineStr">
        <is>
          <t>Branch Storekeeper / Manager / Owner / Main Store Storekeeper</t>
        </is>
      </c>
      <c r="L139" s="4" t="inlineStr">
        <is>
          <t>Restaurant A / Branch A1 and A2; Restaurant B / Branch B1</t>
        </is>
      </c>
      <c r="M139" s="4" t="inlineStr">
        <is>
          <t>1. Sign in as Branch Storekeeper / Manager / Owner / Main Store Storekeeper, or remain anonymous when the case requires it.
2. Record relevant UI, API and database baseline identifiers, statuses, counts and balances.
3. Use the documented page/API to verify that same-restaurant owner approves pending request without stock mutation.
4. Refresh or repeat through an independent client where concurrency, polling or idempotency applies.
5. Compare the outcome, scope, audit fields and side effects with the expected result; capture evidence.</t>
        </is>
      </c>
      <c r="N139" s="4" t="inlineStr">
        <is>
          <t>The release candidate demonstrates the specified behavior exactly and only within the actor's authorized scope: Same-restaurant owner approves pending request without stock mutation. No unrelated record changes.</t>
        </is>
      </c>
      <c r="O139" s="4" t="inlineStr">
        <is>
          <t>Reverse only synthetic changes through supported UI/API, or restore the approved isolated snapshot; confirm no residual locks, sessions, occupied tables or stock deltas.</t>
        </is>
      </c>
      <c r="P139" s="4" t="inlineStr">
        <is>
          <t>Yes</t>
        </is>
      </c>
      <c r="Q139" s="4" t="inlineStr">
        <is>
          <t>Timestamped screenshots for UI; request/response with secrets redacted for API; query IDs/counts/balances for transactions; export/build artifact or monitoring trace where applicable.</t>
        </is>
      </c>
      <c r="R139" s="4" t="inlineStr">
        <is>
          <t>Planned / Not Yet Executed</t>
        </is>
      </c>
      <c r="S139" s="4" t="inlineStr"/>
      <c r="T139" s="4" t="inlineStr"/>
      <c r="U139" s="4" t="inlineStr"/>
      <c r="V139" s="4" t="inlineStr"/>
      <c r="W139" s="4" t="inlineStr"/>
      <c r="X139" s="4" t="inlineStr"/>
    </row>
    <row r="140" ht="72" customHeight="1">
      <c r="A140" s="4" t="inlineStr">
        <is>
          <t>MSTORE-009</t>
        </is>
      </c>
      <c r="B140" s="4" t="inlineStr">
        <is>
          <t>Main Store &amp; Branch Stock Requests</t>
        </is>
      </c>
      <c r="C140" s="4" t="inlineStr">
        <is>
          <t>FR-I06, FR-I07, FR-I08, FR-I09, FR-I10, FR-I11, NFR-09, NFR-10</t>
        </is>
      </c>
      <c r="D140" s="4" t="inlineStr">
        <is>
          <t>Authorized decision maker rejects pending request without stock mutation</t>
        </is>
      </c>
      <c r="E140" s="4" t="inlineStr">
        <is>
          <t>Verify, without assuming a pass result, that the release candidate correctly enforces: Authorized decision maker rejects pending request without stock mutation.</t>
        </is>
      </c>
      <c r="F140" s="4" t="inlineStr">
        <is>
          <t>Negative</t>
        </is>
      </c>
      <c r="G140" s="4" t="inlineStr">
        <is>
          <t>High</t>
        </is>
      </c>
      <c r="H140" s="4" t="inlineStr">
        <is>
          <t>High</t>
        </is>
      </c>
      <c r="I140" s="4" t="inlineStr">
        <is>
          <t>Two restaurants, two Branch A locations, scoped managers, owner, branch storekeepers and a branchless Main Store Storekeeper exist; all balances are captured.</t>
        </is>
      </c>
      <c r="J140" s="4" t="inlineStr">
        <is>
          <t>Use only named synthetic records from the Test Data Plan; capture generated IDs and baseline values in evidence. Never use real credentials, customer PII or secrets.</t>
        </is>
      </c>
      <c r="K140" s="4" t="inlineStr">
        <is>
          <t>Branch Storekeeper / Manager / Owner / Main Store Storekeeper</t>
        </is>
      </c>
      <c r="L140" s="4" t="inlineStr">
        <is>
          <t>Restaurant A / Branch A1 and A2; Restaurant B / Branch B1</t>
        </is>
      </c>
      <c r="M140" s="4" t="inlineStr">
        <is>
          <t>1. Sign in as Branch Storekeeper / Manager / Owner / Main Store Storekeeper, or remain anonymous when the case requires it.
2. Record relevant UI, API and database baseline identifiers, statuses, counts and balances.
3. Use the documented page/API to verify that authorized decision maker rejects pending request without stock mutation.
4. Refresh or repeat through an independent client where concurrency, polling or idempotency applies.
5. Compare the outcome, scope, audit fields and side effects with the expected result; capture evidence.</t>
        </is>
      </c>
      <c r="N140" s="4" t="inlineStr">
        <is>
          <t>The release candidate demonstrates the specified behavior exactly and only within the actor's authorized scope: Authorized decision maker rejects pending request without stock mutation. No unrelated record changes.</t>
        </is>
      </c>
      <c r="O140" s="4" t="inlineStr">
        <is>
          <t>Reverse only synthetic changes through supported UI/API, or restore the approved isolated snapshot; confirm no residual locks, sessions, occupied tables or stock deltas.</t>
        </is>
      </c>
      <c r="P140" s="4" t="inlineStr">
        <is>
          <t>Yes</t>
        </is>
      </c>
      <c r="Q140" s="4" t="inlineStr">
        <is>
          <t>Timestamped screenshots for UI; request/response with secrets redacted for API; query IDs/counts/balances for transactions; export/build artifact or monitoring trace where applicable.</t>
        </is>
      </c>
      <c r="R140" s="4" t="inlineStr">
        <is>
          <t>Planned / Not Yet Executed</t>
        </is>
      </c>
      <c r="S140" s="4" t="inlineStr"/>
      <c r="T140" s="4" t="inlineStr"/>
      <c r="U140" s="4" t="inlineStr"/>
      <c r="V140" s="4" t="inlineStr"/>
      <c r="W140" s="4" t="inlineStr"/>
      <c r="X140" s="4" t="inlineStr"/>
    </row>
    <row r="141" ht="72" customHeight="1">
      <c r="A141" s="4" t="inlineStr">
        <is>
          <t>MSTORE-010</t>
        </is>
      </c>
      <c r="B141" s="4" t="inlineStr">
        <is>
          <t>Main Store &amp; Branch Stock Requests</t>
        </is>
      </c>
      <c r="C141" s="4" t="inlineStr">
        <is>
          <t>FR-I06, FR-I07, FR-I08, FR-I09, FR-I10, FR-I11, NFR-09, NFR-10</t>
        </is>
      </c>
      <c r="D141" s="4" t="inlineStr">
        <is>
          <t>Other-branch manager cannot decide the request</t>
        </is>
      </c>
      <c r="E141" s="4" t="inlineStr">
        <is>
          <t>Verify, without assuming a pass result, that the release candidate correctly enforces: Other-branch manager cannot decide the request.</t>
        </is>
      </c>
      <c r="F141" s="4" t="inlineStr">
        <is>
          <t>Negative</t>
        </is>
      </c>
      <c r="G141" s="4" t="inlineStr">
        <is>
          <t>Medium</t>
        </is>
      </c>
      <c r="H141" s="4" t="inlineStr">
        <is>
          <t>Medium</t>
        </is>
      </c>
      <c r="I141" s="4" t="inlineStr">
        <is>
          <t>Two restaurants, two Branch A locations, scoped managers, owner, branch storekeepers and a branchless Main Store Storekeeper exist; all balances are captured.</t>
        </is>
      </c>
      <c r="J141" s="4" t="inlineStr">
        <is>
          <t>Use only named synthetic records from the Test Data Plan; capture generated IDs and baseline values in evidence. Never use real credentials, customer PII or secrets.</t>
        </is>
      </c>
      <c r="K141" s="4" t="inlineStr">
        <is>
          <t>Branch Storekeeper / Manager / Owner / Main Store Storekeeper</t>
        </is>
      </c>
      <c r="L141" s="4" t="inlineStr">
        <is>
          <t>Restaurant A / Branch A1 and A2; Restaurant B / Branch B1</t>
        </is>
      </c>
      <c r="M141" s="4" t="inlineStr">
        <is>
          <t>1. Sign in as Branch Storekeeper / Manager / Owner / Main Store Storekeeper, or remain anonymous when the case requires it.
2. Record relevant UI, API and database baseline identifiers, statuses, counts and balances.
3. Use the documented page/API to verify that other-branch manager cannot decide the request.
4. Refresh or repeat through an independent client where concurrency, polling or idempotency applies.
5. Compare the outcome, scope, audit fields and side effects with the expected result; capture evidence.</t>
        </is>
      </c>
      <c r="N141" s="4" t="inlineStr">
        <is>
          <t>The operation is refused with a stable, safe error; no unauthorized or partial mutation occurs. Specifically: Other-branch manager cannot decide the request.</t>
        </is>
      </c>
      <c r="O141" s="4" t="inlineStr">
        <is>
          <t>Reverse only synthetic changes through supported UI/API, or restore the approved isolated snapshot; confirm no residual locks, sessions, occupied tables or stock deltas.</t>
        </is>
      </c>
      <c r="P141" s="4" t="inlineStr">
        <is>
          <t>Yes</t>
        </is>
      </c>
      <c r="Q141" s="4" t="inlineStr">
        <is>
          <t>Timestamped screenshots for UI; request/response with secrets redacted for API; query IDs/counts/balances for transactions; export/build artifact or monitoring trace where applicable.</t>
        </is>
      </c>
      <c r="R141" s="4" t="inlineStr">
        <is>
          <t>Planned / Not Yet Executed</t>
        </is>
      </c>
      <c r="S141" s="4" t="inlineStr"/>
      <c r="T141" s="4" t="inlineStr"/>
      <c r="U141" s="4" t="inlineStr"/>
      <c r="V141" s="4" t="inlineStr"/>
      <c r="W141" s="4" t="inlineStr"/>
      <c r="X141" s="4" t="inlineStr"/>
    </row>
    <row r="142" ht="72" customHeight="1">
      <c r="A142" s="4" t="inlineStr">
        <is>
          <t>MSTORE-011</t>
        </is>
      </c>
      <c r="B142" s="4" t="inlineStr">
        <is>
          <t>Main Store &amp; Branch Stock Requests</t>
        </is>
      </c>
      <c r="C142" s="4" t="inlineStr">
        <is>
          <t>FR-I06, FR-I07, FR-I08, FR-I09, FR-I10, FR-I11, NFR-09, NFR-10</t>
        </is>
      </c>
      <c r="D142" s="4" t="inlineStr">
        <is>
          <t>Branch or Main Store Storekeeper cannot approve or reject</t>
        </is>
      </c>
      <c r="E142" s="4" t="inlineStr">
        <is>
          <t>Verify, without assuming a pass result, that the release candidate correctly enforces: Branch or Main Store Storekeeper cannot approve or reject.</t>
        </is>
      </c>
      <c r="F142" s="4" t="inlineStr">
        <is>
          <t>Negative</t>
        </is>
      </c>
      <c r="G142" s="4" t="inlineStr">
        <is>
          <t>Medium</t>
        </is>
      </c>
      <c r="H142" s="4" t="inlineStr">
        <is>
          <t>Medium</t>
        </is>
      </c>
      <c r="I142" s="4" t="inlineStr">
        <is>
          <t>Two restaurants, two Branch A locations, scoped managers, owner, branch storekeepers and a branchless Main Store Storekeeper exist; all balances are captured.</t>
        </is>
      </c>
      <c r="J142" s="4" t="inlineStr">
        <is>
          <t>Use only named synthetic records from the Test Data Plan; capture generated IDs and baseline values in evidence. Never use real credentials, customer PII or secrets.</t>
        </is>
      </c>
      <c r="K142" s="4" t="inlineStr">
        <is>
          <t>Branch Storekeeper / Manager / Owner / Main Store Storekeeper</t>
        </is>
      </c>
      <c r="L142" s="4" t="inlineStr">
        <is>
          <t>Restaurant A / Branch A1 and A2; Restaurant B / Branch B1</t>
        </is>
      </c>
      <c r="M142" s="4" t="inlineStr">
        <is>
          <t>1. Sign in as Branch Storekeeper / Manager / Owner / Main Store Storekeeper, or remain anonymous when the case requires it.
2. Record relevant UI, API and database baseline identifiers, statuses, counts and balances.
3. Use the documented page/API to verify that branch or Main Store Storekeeper cannot approve or reject.
4. Refresh or repeat through an independent client where concurrency, polling or idempotency applies.
5. Compare the outcome, scope, audit fields and side effects with the expected result; capture evidence.</t>
        </is>
      </c>
      <c r="N142" s="4" t="inlineStr">
        <is>
          <t>The operation is refused with a stable, safe error; no unauthorized or partial mutation occurs. Specifically: Branch or Main Store Storekeeper cannot approve or reject.</t>
        </is>
      </c>
      <c r="O142" s="4" t="inlineStr">
        <is>
          <t>Reverse only synthetic changes through supported UI/API, or restore the approved isolated snapshot; confirm no residual locks, sessions, occupied tables or stock deltas.</t>
        </is>
      </c>
      <c r="P142" s="4" t="inlineStr">
        <is>
          <t>Yes</t>
        </is>
      </c>
      <c r="Q142" s="4" t="inlineStr">
        <is>
          <t>Timestamped screenshots for UI; request/response with secrets redacted for API; query IDs/counts/balances for transactions; export/build artifact or monitoring trace where applicable.</t>
        </is>
      </c>
      <c r="R142" s="4" t="inlineStr">
        <is>
          <t>Planned / Not Yet Executed</t>
        </is>
      </c>
      <c r="S142" s="4" t="inlineStr"/>
      <c r="T142" s="4" t="inlineStr"/>
      <c r="U142" s="4" t="inlineStr"/>
      <c r="V142" s="4" t="inlineStr"/>
      <c r="W142" s="4" t="inlineStr"/>
      <c r="X142" s="4" t="inlineStr"/>
    </row>
    <row r="143" ht="72" customHeight="1">
      <c r="A143" s="4" t="inlineStr">
        <is>
          <t>MSTORE-012</t>
        </is>
      </c>
      <c r="B143" s="4" t="inlineStr">
        <is>
          <t>Main Store &amp; Branch Stock Requests</t>
        </is>
      </c>
      <c r="C143" s="4" t="inlineStr">
        <is>
          <t>FR-I06, FR-I07, FR-I08, FR-I09, FR-I10, FR-I11, NFR-09, NFR-10</t>
        </is>
      </c>
      <c r="D143" s="4" t="inlineStr">
        <is>
          <t>Second approval rejection or decision on non-pending request fails</t>
        </is>
      </c>
      <c r="E143" s="4" t="inlineStr">
        <is>
          <t>Verify, without assuming a pass result, that the release candidate correctly enforces: Second approval rejection or decision on non-pending request fails.</t>
        </is>
      </c>
      <c r="F143" s="4" t="inlineStr">
        <is>
          <t>Negative</t>
        </is>
      </c>
      <c r="G143" s="4" t="inlineStr">
        <is>
          <t>Medium</t>
        </is>
      </c>
      <c r="H143" s="4" t="inlineStr">
        <is>
          <t>Medium</t>
        </is>
      </c>
      <c r="I143" s="4" t="inlineStr">
        <is>
          <t>Two restaurants, two Branch A locations, scoped managers, owner, branch storekeepers and a branchless Main Store Storekeeper exist; all balances are captured.</t>
        </is>
      </c>
      <c r="J143" s="4" t="inlineStr">
        <is>
          <t>Use only named synthetic records from the Test Data Plan; capture generated IDs and baseline values in evidence. Never use real credentials, customer PII or secrets.</t>
        </is>
      </c>
      <c r="K143" s="4" t="inlineStr">
        <is>
          <t>Branch Storekeeper / Manager / Owner / Main Store Storekeeper</t>
        </is>
      </c>
      <c r="L143" s="4" t="inlineStr">
        <is>
          <t>Restaurant A / Branch A1 and A2; Restaurant B / Branch B1</t>
        </is>
      </c>
      <c r="M143" s="4" t="inlineStr">
        <is>
          <t>1. Sign in as Branch Storekeeper / Manager / Owner / Main Store Storekeeper, or remain anonymous when the case requires it.
2. Record relevant UI, API and database baseline identifiers, statuses, counts and balances.
3. Use the documented page/API to verify that second approval rejection or decision on non-pending request fails.
4. Refresh or repeat through an independent client where concurrency, polling or idempotency applies.
5. Compare the outcome, scope, audit fields and side effects with the expected result; capture evidence.</t>
        </is>
      </c>
      <c r="N143" s="4" t="inlineStr">
        <is>
          <t>The operation is refused with a stable, safe error; no unauthorized or partial mutation occurs. Specifically: Second approval rejection or decision on non-pending request fails.</t>
        </is>
      </c>
      <c r="O143" s="4" t="inlineStr">
        <is>
          <t>Reverse only synthetic changes through supported UI/API, or restore the approved isolated snapshot; confirm no residual locks, sessions, occupied tables or stock deltas.</t>
        </is>
      </c>
      <c r="P143" s="4" t="inlineStr">
        <is>
          <t>Yes</t>
        </is>
      </c>
      <c r="Q143" s="4" t="inlineStr">
        <is>
          <t>Timestamped screenshots for UI; request/response with secrets redacted for API; query IDs/counts/balances for transactions; export/build artifact or monitoring trace where applicable.</t>
        </is>
      </c>
      <c r="R143" s="4" t="inlineStr">
        <is>
          <t>Planned / Not Yet Executed</t>
        </is>
      </c>
      <c r="S143" s="4" t="inlineStr"/>
      <c r="T143" s="4" t="inlineStr"/>
      <c r="U143" s="4" t="inlineStr"/>
      <c r="V143" s="4" t="inlineStr"/>
      <c r="W143" s="4" t="inlineStr"/>
      <c r="X143" s="4" t="inlineStr"/>
    </row>
    <row r="144" ht="72" customHeight="1">
      <c r="A144" s="4" t="inlineStr">
        <is>
          <t>MSTORE-013</t>
        </is>
      </c>
      <c r="B144" s="4" t="inlineStr">
        <is>
          <t>Main Store &amp; Branch Stock Requests</t>
        </is>
      </c>
      <c r="C144" s="4" t="inlineStr">
        <is>
          <t>FR-I06, FR-I07, FR-I08, FR-I09, FR-I10, FR-I11, NFR-09, NFR-10</t>
        </is>
      </c>
      <c r="D144" s="4" t="inlineStr">
        <is>
          <t>Only branchless same-restaurant Main Store Storekeeper fulfills</t>
        </is>
      </c>
      <c r="E144" s="4" t="inlineStr">
        <is>
          <t>Verify, without assuming a pass result, that the release candidate correctly enforces: Only branchless same-restaurant Main Store Storekeeper fulfills.</t>
        </is>
      </c>
      <c r="F144" s="4" t="inlineStr">
        <is>
          <t>Authorization</t>
        </is>
      </c>
      <c r="G144" s="4" t="inlineStr">
        <is>
          <t>High</t>
        </is>
      </c>
      <c r="H144" s="4" t="inlineStr">
        <is>
          <t>High</t>
        </is>
      </c>
      <c r="I144" s="4" t="inlineStr">
        <is>
          <t>Two restaurants, two Branch A locations, scoped managers, owner, branch storekeepers and a branchless Main Store Storekeeper exist; all balances are captured.</t>
        </is>
      </c>
      <c r="J144" s="4" t="inlineStr">
        <is>
          <t>Use only named synthetic records from the Test Data Plan; capture generated IDs and baseline values in evidence. Never use real credentials, customer PII or secrets.</t>
        </is>
      </c>
      <c r="K144" s="4" t="inlineStr">
        <is>
          <t>Branch Storekeeper / Manager / Owner / Main Store Storekeeper</t>
        </is>
      </c>
      <c r="L144" s="4" t="inlineStr">
        <is>
          <t>Restaurant A / Branch A1 and A2; Restaurant B / Branch B1</t>
        </is>
      </c>
      <c r="M144" s="4" t="inlineStr">
        <is>
          <t>1. Sign in as Branch Storekeeper / Manager / Owner / Main Store Storekeeper, or remain anonymous when the case requires it.
2. Record relevant UI, API and database baseline identifiers, statuses, counts and balances.
3. Use the documented page/API to verify that only branchless same-restaurant Main Store Storekeeper fulfills.
4. Refresh or repeat through an independent client where concurrency, polling or idempotency applies.
5. Compare the outcome, scope, audit fields and side effects with the expected result; capture evidence.</t>
        </is>
      </c>
      <c r="N144" s="4" t="inlineStr">
        <is>
          <t>The release candidate demonstrates the specified behavior exactly and only within the actor's authorized scope: Only branchless same-restaurant Main Store Storekeeper fulfills. No unrelated record changes.</t>
        </is>
      </c>
      <c r="O144" s="4" t="inlineStr">
        <is>
          <t>Reverse only synthetic changes through supported UI/API, or restore the approved isolated snapshot; confirm no residual locks, sessions, occupied tables or stock deltas.</t>
        </is>
      </c>
      <c r="P144" s="4" t="inlineStr">
        <is>
          <t>Yes</t>
        </is>
      </c>
      <c r="Q144" s="4" t="inlineStr">
        <is>
          <t>Timestamped screenshots for UI; request/response with secrets redacted for API; query IDs/counts/balances for transactions; export/build artifact or monitoring trace where applicable.</t>
        </is>
      </c>
      <c r="R144" s="4" t="inlineStr">
        <is>
          <t>Planned / Not Yet Executed</t>
        </is>
      </c>
      <c r="S144" s="4" t="inlineStr"/>
      <c r="T144" s="4" t="inlineStr"/>
      <c r="U144" s="4" t="inlineStr"/>
      <c r="V144" s="4" t="inlineStr"/>
      <c r="W144" s="4" t="inlineStr"/>
      <c r="X144" s="4" t="inlineStr"/>
    </row>
    <row r="145" ht="72" customHeight="1">
      <c r="A145" s="4" t="inlineStr">
        <is>
          <t>MSTORE-014</t>
        </is>
      </c>
      <c r="B145" s="4" t="inlineStr">
        <is>
          <t>Main Store &amp; Branch Stock Requests</t>
        </is>
      </c>
      <c r="C145" s="4" t="inlineStr">
        <is>
          <t>FR-I06, FR-I07, FR-I08, FR-I09, FR-I10, FR-I11, NFR-09, NFR-10</t>
        </is>
      </c>
      <c r="D145" s="4" t="inlineStr">
        <is>
          <t>Pending rejected and already transferred requests cannot be fulfilled</t>
        </is>
      </c>
      <c r="E145" s="4" t="inlineStr">
        <is>
          <t>Verify, without assuming a pass result, that the release candidate correctly enforces: Pending rejected and already transferred requests cannot be fulfilled.</t>
        </is>
      </c>
      <c r="F145" s="4" t="inlineStr">
        <is>
          <t>Negative</t>
        </is>
      </c>
      <c r="G145" s="4" t="inlineStr">
        <is>
          <t>Medium</t>
        </is>
      </c>
      <c r="H145" s="4" t="inlineStr">
        <is>
          <t>Medium</t>
        </is>
      </c>
      <c r="I145" s="4" t="inlineStr">
        <is>
          <t>Two restaurants, two Branch A locations, scoped managers, owner, branch storekeepers and a branchless Main Store Storekeeper exist; all balances are captured.</t>
        </is>
      </c>
      <c r="J145" s="4" t="inlineStr">
        <is>
          <t>Use only named synthetic records from the Test Data Plan; capture generated IDs and baseline values in evidence. Never use real credentials, customer PII or secrets.</t>
        </is>
      </c>
      <c r="K145" s="4" t="inlineStr">
        <is>
          <t>Branch Storekeeper / Manager / Owner / Main Store Storekeeper</t>
        </is>
      </c>
      <c r="L145" s="4" t="inlineStr">
        <is>
          <t>Restaurant A / Branch A1 and A2; Restaurant B / Branch B1</t>
        </is>
      </c>
      <c r="M145" s="4" t="inlineStr">
        <is>
          <t>1. Sign in as Branch Storekeeper / Manager / Owner / Main Store Storekeeper, or remain anonymous when the case requires it.
2. Record relevant UI, API and database baseline identifiers, statuses, counts and balances.
3. Use the documented page/API to verify that pending rejected and already transferred requests cannot be fulfilled.
4. Refresh or repeat through an independent client where concurrency, polling or idempotency applies.
5. Compare the outcome, scope, audit fields and side effects with the expected result; capture evidence.</t>
        </is>
      </c>
      <c r="N145" s="4" t="inlineStr">
        <is>
          <t>The operation is refused with a stable, safe error; no unauthorized or partial mutation occurs. Specifically: Pending rejected and already transferred requests cannot be fulfilled.</t>
        </is>
      </c>
      <c r="O145" s="4" t="inlineStr">
        <is>
          <t>Reverse only synthetic changes through supported UI/API, or restore the approved isolated snapshot; confirm no residual locks, sessions, occupied tables or stock deltas.</t>
        </is>
      </c>
      <c r="P145" s="4" t="inlineStr">
        <is>
          <t>Yes</t>
        </is>
      </c>
      <c r="Q145" s="4" t="inlineStr">
        <is>
          <t>Timestamped screenshots for UI; request/response with secrets redacted for API; query IDs/counts/balances for transactions; export/build artifact or monitoring trace where applicable.</t>
        </is>
      </c>
      <c r="R145" s="4" t="inlineStr">
        <is>
          <t>Planned / Not Yet Executed</t>
        </is>
      </c>
      <c r="S145" s="4" t="inlineStr"/>
      <c r="T145" s="4" t="inlineStr"/>
      <c r="U145" s="4" t="inlineStr"/>
      <c r="V145" s="4" t="inlineStr"/>
      <c r="W145" s="4" t="inlineStr"/>
      <c r="X145" s="4" t="inlineStr"/>
    </row>
    <row r="146" ht="72" customHeight="1">
      <c r="A146" s="4" t="inlineStr">
        <is>
          <t>MSTORE-015</t>
        </is>
      </c>
      <c r="B146" s="4" t="inlineStr">
        <is>
          <t>Main Store &amp; Branch Stock Requests</t>
        </is>
      </c>
      <c r="C146" s="4" t="inlineStr">
        <is>
          <t>FR-I06, FR-I07, FR-I08, FR-I09, FR-I10, FR-I11, NFR-09, NFR-10</t>
        </is>
      </c>
      <c r="D146" s="4" t="inlineStr">
        <is>
          <t>Successful multi-line fulfillment moves every quantity atomically</t>
        </is>
      </c>
      <c r="E146" s="4" t="inlineStr">
        <is>
          <t>Verify, without assuming a pass result, that the release candidate correctly enforces: Successful multi-line fulfillment moves every quantity atomically.</t>
        </is>
      </c>
      <c r="F146" s="4" t="inlineStr">
        <is>
          <t>Integration</t>
        </is>
      </c>
      <c r="G146" s="4" t="inlineStr">
        <is>
          <t>Critical</t>
        </is>
      </c>
      <c r="H146" s="4" t="inlineStr">
        <is>
          <t>Critical</t>
        </is>
      </c>
      <c r="I146" s="4" t="inlineStr">
        <is>
          <t>Two restaurants, two Branch A locations, scoped managers, owner, branch storekeepers and a branchless Main Store Storekeeper exist; all balances are captured.</t>
        </is>
      </c>
      <c r="J146" s="4" t="inlineStr">
        <is>
          <t>Use only named synthetic records from the Test Data Plan; capture generated IDs and baseline values in evidence. Never use real credentials, customer PII or secrets.</t>
        </is>
      </c>
      <c r="K146" s="4" t="inlineStr">
        <is>
          <t>Branch Storekeeper / Manager / Owner / Main Store Storekeeper</t>
        </is>
      </c>
      <c r="L146" s="4" t="inlineStr">
        <is>
          <t>Restaurant A / Branch A1 and A2; Restaurant B / Branch B1</t>
        </is>
      </c>
      <c r="M146" s="4" t="inlineStr">
        <is>
          <t>1. Sign in as Branch Storekeeper / Manager / Owner / Main Store Storekeeper, or remain anonymous when the case requires it.
2. Record relevant UI, API and database baseline identifiers, statuses, counts and balances.
3. Use the documented page/API to verify that successful multi-line fulfillment moves every quantity atomically.
4. Refresh or repeat through an independent client where concurrency, polling or idempotency applies.
5. Compare the outcome, scope, audit fields and side effects with the expected result; capture evidence.</t>
        </is>
      </c>
      <c r="N146" s="4" t="inlineStr">
        <is>
          <t>All related writes commit once as one unit and reconcile to the captured baseline; an injected/observed failure leaves every related record unchanged.</t>
        </is>
      </c>
      <c r="O146" s="4" t="inlineStr">
        <is>
          <t>Reverse only synthetic changes through supported UI/API, or restore the approved isolated snapshot; confirm no residual locks, sessions, occupied tables or stock deltas.</t>
        </is>
      </c>
      <c r="P146" s="4" t="inlineStr">
        <is>
          <t>Yes</t>
        </is>
      </c>
      <c r="Q146" s="4" t="inlineStr">
        <is>
          <t>Timestamped screenshots for UI; request/response with secrets redacted for API; query IDs/counts/balances for transactions; export/build artifact or monitoring trace where applicable.</t>
        </is>
      </c>
      <c r="R146" s="4" t="inlineStr">
        <is>
          <t>Planned / Not Yet Executed</t>
        </is>
      </c>
      <c r="S146" s="4" t="inlineStr"/>
      <c r="T146" s="4" t="inlineStr"/>
      <c r="U146" s="4" t="inlineStr"/>
      <c r="V146" s="4" t="inlineStr"/>
      <c r="W146" s="4" t="inlineStr"/>
      <c r="X146" s="4" t="inlineStr"/>
    </row>
    <row r="147" ht="72" customHeight="1">
      <c r="A147" s="4" t="inlineStr">
        <is>
          <t>MSTORE-016</t>
        </is>
      </c>
      <c r="B147" s="4" t="inlineStr">
        <is>
          <t>Main Store &amp; Branch Stock Requests</t>
        </is>
      </c>
      <c r="C147" s="4" t="inlineStr">
        <is>
          <t>FR-I06, FR-I07, FR-I08, FR-I09, FR-I10, FR-I11, NFR-09, NFR-10</t>
        </is>
      </c>
      <c r="D147" s="4" t="inlineStr">
        <is>
          <t>Missing destination or Main Store line aborts full fulfillment</t>
        </is>
      </c>
      <c r="E147" s="4" t="inlineStr">
        <is>
          <t>Verify, without assuming a pass result, that the release candidate correctly enforces: Missing destination or Main Store line aborts full fulfillment.</t>
        </is>
      </c>
      <c r="F147" s="4" t="inlineStr">
        <is>
          <t>Negative</t>
        </is>
      </c>
      <c r="G147" s="4" t="inlineStr">
        <is>
          <t>Medium</t>
        </is>
      </c>
      <c r="H147" s="4" t="inlineStr">
        <is>
          <t>Medium</t>
        </is>
      </c>
      <c r="I147" s="4" t="inlineStr">
        <is>
          <t>Two restaurants, two Branch A locations, scoped managers, owner, branch storekeepers and a branchless Main Store Storekeeper exist; all balances are captured.</t>
        </is>
      </c>
      <c r="J147" s="4" t="inlineStr">
        <is>
          <t>Use only named synthetic records from the Test Data Plan; capture generated IDs and baseline values in evidence. Never use real credentials, customer PII or secrets.</t>
        </is>
      </c>
      <c r="K147" s="4" t="inlineStr">
        <is>
          <t>Branch Storekeeper / Manager / Owner / Main Store Storekeeper</t>
        </is>
      </c>
      <c r="L147" s="4" t="inlineStr">
        <is>
          <t>Restaurant A / Branch A1 and A2; Restaurant B / Branch B1</t>
        </is>
      </c>
      <c r="M147" s="4" t="inlineStr">
        <is>
          <t>1. Sign in as Branch Storekeeper / Manager / Owner / Main Store Storekeeper, or remain anonymous when the case requires it.
2. Record relevant UI, API and database baseline identifiers, statuses, counts and balances.
3. Use the documented page/API to verify that missing destination or Main Store line aborts full fulfillment.
4. Refresh or repeat through an independent client where concurrency, polling or idempotency applies.
5. Compare the outcome, scope, audit fields and side effects with the expected result; capture evidence.</t>
        </is>
      </c>
      <c r="N147" s="4" t="inlineStr">
        <is>
          <t>The operation is refused with a stable, safe error; no unauthorized or partial mutation occurs. Specifically: Missing destination or Main Store line aborts full fulfillment.</t>
        </is>
      </c>
      <c r="O147" s="4" t="inlineStr">
        <is>
          <t>Reverse only synthetic changes through supported UI/API, or restore the approved isolated snapshot; confirm no residual locks, sessions, occupied tables or stock deltas.</t>
        </is>
      </c>
      <c r="P147" s="4" t="inlineStr">
        <is>
          <t>Yes</t>
        </is>
      </c>
      <c r="Q147" s="4" t="inlineStr">
        <is>
          <t>Timestamped screenshots for UI; request/response with secrets redacted for API; query IDs/counts/balances for transactions; export/build artifact or monitoring trace where applicable.</t>
        </is>
      </c>
      <c r="R147" s="4" t="inlineStr">
        <is>
          <t>Planned / Not Yet Executed</t>
        </is>
      </c>
      <c r="S147" s="4" t="inlineStr"/>
      <c r="T147" s="4" t="inlineStr"/>
      <c r="U147" s="4" t="inlineStr"/>
      <c r="V147" s="4" t="inlineStr"/>
      <c r="W147" s="4" t="inlineStr"/>
      <c r="X147" s="4" t="inlineStr"/>
    </row>
    <row r="148" ht="72" customHeight="1">
      <c r="A148" s="4" t="inlineStr">
        <is>
          <t>MSTORE-017</t>
        </is>
      </c>
      <c r="B148" s="4" t="inlineStr">
        <is>
          <t>Main Store &amp; Branch Stock Requests</t>
        </is>
      </c>
      <c r="C148" s="4" t="inlineStr">
        <is>
          <t>FR-I06, FR-I07, FR-I08, FR-I09, FR-I10, FR-I11, NFR-09, NFR-10</t>
        </is>
      </c>
      <c r="D148" s="4" t="inlineStr">
        <is>
          <t>Insufficient stock on one line rolls back all lines and audit writes</t>
        </is>
      </c>
      <c r="E148" s="4" t="inlineStr">
        <is>
          <t>Verify, without assuming a pass result, that the release candidate correctly enforces: Insufficient stock on one line rolls back all lines and audit writes.</t>
        </is>
      </c>
      <c r="F148" s="4" t="inlineStr">
        <is>
          <t>Positive</t>
        </is>
      </c>
      <c r="G148" s="4" t="inlineStr">
        <is>
          <t>High</t>
        </is>
      </c>
      <c r="H148" s="4" t="inlineStr">
        <is>
          <t>High</t>
        </is>
      </c>
      <c r="I148" s="4" t="inlineStr">
        <is>
          <t>Two restaurants, two Branch A locations, scoped managers, owner, branch storekeepers and a branchless Main Store Storekeeper exist; all balances are captured.</t>
        </is>
      </c>
      <c r="J148" s="4" t="inlineStr">
        <is>
          <t>Use only named synthetic records from the Test Data Plan; capture generated IDs and baseline values in evidence. Never use real credentials, customer PII or secrets.</t>
        </is>
      </c>
      <c r="K148" s="4" t="inlineStr">
        <is>
          <t>Branch Storekeeper / Manager / Owner / Main Store Storekeeper</t>
        </is>
      </c>
      <c r="L148" s="4" t="inlineStr">
        <is>
          <t>Restaurant A / Branch A1 and A2; Restaurant B / Branch B1</t>
        </is>
      </c>
      <c r="M148" s="4" t="inlineStr">
        <is>
          <t>1. Sign in as Branch Storekeeper / Manager / Owner / Main Store Storekeeper, or remain anonymous when the case requires it.
2. Record relevant UI, API and database baseline identifiers, statuses, counts and balances.
3. Use the documented page/API to verify that insufficient stock on one line rolls back all lines and audit writes.
4. Refresh or repeat through an independent client where concurrency, polling or idempotency applies.
5. Compare the outcome, scope, audit fields and side effects with the expected result; capture evidence.</t>
        </is>
      </c>
      <c r="N148" s="4" t="inlineStr">
        <is>
          <t>The request remains approved; every Main Store and branch balance, destination item, movement, adjustment, audit link and post-balance remains at the captured baseline.</t>
        </is>
      </c>
      <c r="O148" s="4" t="inlineStr">
        <is>
          <t>Reverse only synthetic changes through supported UI/API, or restore the approved isolated snapshot; confirm no residual locks, sessions, occupied tables or stock deltas.</t>
        </is>
      </c>
      <c r="P148" s="4" t="inlineStr">
        <is>
          <t>Yes</t>
        </is>
      </c>
      <c r="Q148" s="4" t="inlineStr">
        <is>
          <t>Timestamped screenshots for UI; request/response with secrets redacted for API; query IDs/counts/balances for transactions; export/build artifact or monitoring trace where applicable.</t>
        </is>
      </c>
      <c r="R148" s="4" t="inlineStr">
        <is>
          <t>Planned / Not Yet Executed</t>
        </is>
      </c>
      <c r="S148" s="4" t="inlineStr"/>
      <c r="T148" s="4" t="inlineStr"/>
      <c r="U148" s="4" t="inlineStr"/>
      <c r="V148" s="4" t="inlineStr"/>
      <c r="W148" s="4" t="inlineStr"/>
      <c r="X148" s="4" t="inlineStr"/>
    </row>
    <row r="149" ht="72" customHeight="1">
      <c r="A149" s="4" t="inlineStr">
        <is>
          <t>MSTORE-018</t>
        </is>
      </c>
      <c r="B149" s="4" t="inlineStr">
        <is>
          <t>Main Store &amp; Branch Stock Requests</t>
        </is>
      </c>
      <c r="C149" s="4" t="inlineStr">
        <is>
          <t>FR-I06, FR-I07, FR-I08, FR-I09, FR-I10, FR-I11, NFR-09, NFR-10</t>
        </is>
      </c>
      <c r="D149" s="4" t="inlineStr">
        <is>
          <t>Concurrent fulfillment attempts produce one transfer only</t>
        </is>
      </c>
      <c r="E149" s="4" t="inlineStr">
        <is>
          <t>Verify, without assuming a pass result, that the release candidate correctly enforces: Concurrent fulfillment attempts produce one transfer only.</t>
        </is>
      </c>
      <c r="F149" s="4" t="inlineStr">
        <is>
          <t>Authorization</t>
        </is>
      </c>
      <c r="G149" s="4" t="inlineStr">
        <is>
          <t>High</t>
        </is>
      </c>
      <c r="H149" s="4" t="inlineStr">
        <is>
          <t>High</t>
        </is>
      </c>
      <c r="I149" s="4" t="inlineStr">
        <is>
          <t>Two restaurants, two Branch A locations, scoped managers, owner, branch storekeepers and a branchless Main Store Storekeeper exist; all balances are captured.</t>
        </is>
      </c>
      <c r="J149" s="4" t="inlineStr">
        <is>
          <t>Use only named synthetic records from the Test Data Plan; capture generated IDs and baseline values in evidence. Never use real credentials, customer PII or secrets.</t>
        </is>
      </c>
      <c r="K149" s="4" t="inlineStr">
        <is>
          <t>Branch Storekeeper / Manager / Owner / Main Store Storekeeper</t>
        </is>
      </c>
      <c r="L149" s="4" t="inlineStr">
        <is>
          <t>Restaurant A / Branch A1 and A2; Restaurant B / Branch B1</t>
        </is>
      </c>
      <c r="M149" s="4" t="inlineStr">
        <is>
          <t>1. Sign in as Branch Storekeeper / Manager / Owner / Main Store Storekeeper, or remain anonymous when the case requires it.
2. Record relevant UI, API and database baseline identifiers, statuses, counts and balances.
3. Use the documented page/API to verify that concurrent fulfillment attempts produce one transfer only.
4. Refresh or repeat through an independent client where concurrency, polling or idempotency applies.
5. Compare the outcome, scope, audit fields and side effects with the expected result; capture evidence.</t>
        </is>
      </c>
      <c r="N149" s="4" t="inlineStr">
        <is>
          <t>The release candidate demonstrates the specified behavior exactly and only within the actor's authorized scope: Concurrent fulfillment attempts produce one transfer only. No unrelated record changes.</t>
        </is>
      </c>
      <c r="O149" s="4" t="inlineStr">
        <is>
          <t>Reverse only synthetic changes through supported UI/API, or restore the approved isolated snapshot; confirm no residual locks, sessions, occupied tables or stock deltas.</t>
        </is>
      </c>
      <c r="P149" s="4" t="inlineStr">
        <is>
          <t>Yes</t>
        </is>
      </c>
      <c r="Q149" s="4" t="inlineStr">
        <is>
          <t>Timestamped screenshots for UI; request/response with secrets redacted for API; query IDs/counts/balances for transactions; export/build artifact or monitoring trace where applicable.</t>
        </is>
      </c>
      <c r="R149" s="4" t="inlineStr">
        <is>
          <t>Planned / Not Yet Executed</t>
        </is>
      </c>
      <c r="S149" s="4" t="inlineStr"/>
      <c r="T149" s="4" t="inlineStr"/>
      <c r="U149" s="4" t="inlineStr"/>
      <c r="V149" s="4" t="inlineStr"/>
      <c r="W149" s="4" t="inlineStr"/>
      <c r="X149" s="4" t="inlineStr"/>
    </row>
    <row r="150" ht="72" customHeight="1">
      <c r="A150" s="4" t="inlineStr">
        <is>
          <t>NOTIF-001</t>
        </is>
      </c>
      <c r="B150" s="4" t="inlineStr">
        <is>
          <t>Notifications</t>
        </is>
      </c>
      <c r="C150" s="4" t="inlineStr">
        <is>
          <t>FR-N01, NFR-02</t>
        </is>
      </c>
      <c r="D150" s="4" t="inlineStr">
        <is>
          <t>New order notification reaches intended coordinator recipients</t>
        </is>
      </c>
      <c r="E150" s="4" t="inlineStr">
        <is>
          <t>Verify, without assuming a pass result, that the release candidate correctly enforces: New order notification reaches intended coordinator recipients.</t>
        </is>
      </c>
      <c r="F150" s="4" t="inlineStr">
        <is>
          <t>Positive</t>
        </is>
      </c>
      <c r="G150" s="4" t="inlineStr">
        <is>
          <t>High</t>
        </is>
      </c>
      <c r="H150" s="4" t="inlineStr">
        <is>
          <t>High</t>
        </is>
      </c>
      <c r="I150" s="4" t="inlineStr">
        <is>
          <t>Synthetic users have distinct branch/restaurant assignments; polling or API inspection is available.</t>
        </is>
      </c>
      <c r="J150" s="4" t="inlineStr">
        <is>
          <t>Use only named synthetic records from the Test Data Plan; capture generated IDs and baseline values in evidence. Never use real credentials, customer PII or secrets.</t>
        </is>
      </c>
      <c r="K150" s="4" t="inlineStr">
        <is>
          <t>Coordinator / Waiter / scoped recipient</t>
        </is>
      </c>
      <c r="L150" s="4" t="inlineStr">
        <is>
          <t>Restaurant A / Branch A1 unless the case explicitly tests another scope</t>
        </is>
      </c>
      <c r="M150" s="4" t="inlineStr">
        <is>
          <t>1. Sign in as Coordinator / Waiter / scoped recipient, or remain anonymous when the case requires it.
2. Record relevant UI, API and database baseline identifiers, statuses, counts and balances.
3. Use the documented page/API to verify that new order notification reaches intended coordinator recipients.
4. Refresh or repeat through an independent client where concurrency, polling or idempotency applies.
5. Compare the outcome, scope, audit fields and side effects with the expected result; capture evidence.</t>
        </is>
      </c>
      <c r="N150" s="4" t="inlineStr">
        <is>
          <t>The release candidate demonstrates the specified behavior exactly and only within the actor's authorized scope: New order notification reaches intended coordinator recipients. No unrelated record changes.</t>
        </is>
      </c>
      <c r="O150" s="4" t="inlineStr">
        <is>
          <t>Reverse only synthetic changes through supported UI/API, or restore the approved isolated snapshot; confirm no residual locks, sessions, occupied tables or stock deltas.</t>
        </is>
      </c>
      <c r="P150" s="4" t="inlineStr">
        <is>
          <t>Yes</t>
        </is>
      </c>
      <c r="Q150" s="4" t="inlineStr">
        <is>
          <t>Timestamped screenshots for UI; request/response with secrets redacted for API; query IDs/counts/balances for transactions; export/build artifact or monitoring trace where applicable.</t>
        </is>
      </c>
      <c r="R150" s="4" t="inlineStr">
        <is>
          <t>Planned / Not Yet Executed</t>
        </is>
      </c>
      <c r="S150" s="4" t="inlineStr"/>
      <c r="T150" s="4" t="inlineStr"/>
      <c r="U150" s="4" t="inlineStr"/>
      <c r="V150" s="4" t="inlineStr"/>
      <c r="W150" s="4" t="inlineStr"/>
      <c r="X150" s="4" t="inlineStr"/>
    </row>
    <row r="151" ht="72" customHeight="1">
      <c r="A151" s="4" t="inlineStr">
        <is>
          <t>NOTIF-002</t>
        </is>
      </c>
      <c r="B151" s="4" t="inlineStr">
        <is>
          <t>Notifications</t>
        </is>
      </c>
      <c r="C151" s="4" t="inlineStr">
        <is>
          <t>FR-N01, NFR-02</t>
        </is>
      </c>
      <c r="D151" s="4" t="inlineStr">
        <is>
          <t>Ready order notification reaches intended waiter or user</t>
        </is>
      </c>
      <c r="E151" s="4" t="inlineStr">
        <is>
          <t>Verify, without assuming a pass result, that the release candidate correctly enforces: Ready order notification reaches intended waiter or user.</t>
        </is>
      </c>
      <c r="F151" s="4" t="inlineStr">
        <is>
          <t>Positive</t>
        </is>
      </c>
      <c r="G151" s="4" t="inlineStr">
        <is>
          <t>High</t>
        </is>
      </c>
      <c r="H151" s="4" t="inlineStr">
        <is>
          <t>High</t>
        </is>
      </c>
      <c r="I151" s="4" t="inlineStr">
        <is>
          <t>Synthetic users have distinct branch/restaurant assignments; polling or API inspection is available.</t>
        </is>
      </c>
      <c r="J151" s="4" t="inlineStr">
        <is>
          <t>Use only named synthetic records from the Test Data Plan; capture generated IDs and baseline values in evidence. Never use real credentials, customer PII or secrets.</t>
        </is>
      </c>
      <c r="K151" s="4" t="inlineStr">
        <is>
          <t>Coordinator / Waiter / scoped recipient</t>
        </is>
      </c>
      <c r="L151" s="4" t="inlineStr">
        <is>
          <t>Restaurant A / Branch A1 unless the case explicitly tests another scope</t>
        </is>
      </c>
      <c r="M151" s="4" t="inlineStr">
        <is>
          <t>1. Sign in as Coordinator / Waiter / scoped recipient, or remain anonymous when the case requires it.
2. Record relevant UI, API and database baseline identifiers, statuses, counts and balances.
3. Use the documented page/API to verify that ready order notification reaches intended waiter or user.
4. Refresh or repeat through an independent client where concurrency, polling or idempotency applies.
5. Compare the outcome, scope, audit fields and side effects with the expected result; capture evidence.</t>
        </is>
      </c>
      <c r="N151" s="4" t="inlineStr">
        <is>
          <t>The release candidate demonstrates the specified behavior exactly and only within the actor's authorized scope: Ready order notification reaches intended waiter or user. No unrelated record changes.</t>
        </is>
      </c>
      <c r="O151" s="4" t="inlineStr">
        <is>
          <t>Reverse only synthetic changes through supported UI/API, or restore the approved isolated snapshot; confirm no residual locks, sessions, occupied tables or stock deltas.</t>
        </is>
      </c>
      <c r="P151" s="4" t="inlineStr">
        <is>
          <t>Yes</t>
        </is>
      </c>
      <c r="Q151" s="4" t="inlineStr">
        <is>
          <t>Timestamped screenshots for UI; request/response with secrets redacted for API; query IDs/counts/balances for transactions; export/build artifact or monitoring trace where applicable.</t>
        </is>
      </c>
      <c r="R151" s="4" t="inlineStr">
        <is>
          <t>Planned / Not Yet Executed</t>
        </is>
      </c>
      <c r="S151" s="4" t="inlineStr"/>
      <c r="T151" s="4" t="inlineStr"/>
      <c r="U151" s="4" t="inlineStr"/>
      <c r="V151" s="4" t="inlineStr"/>
      <c r="W151" s="4" t="inlineStr"/>
      <c r="X151" s="4" t="inlineStr"/>
    </row>
    <row r="152" ht="72" customHeight="1">
      <c r="A152" s="4" t="inlineStr">
        <is>
          <t>NOTIF-003</t>
        </is>
      </c>
      <c r="B152" s="4" t="inlineStr">
        <is>
          <t>Notifications</t>
        </is>
      </c>
      <c r="C152" s="4" t="inlineStr">
        <is>
          <t>FR-N01, NFR-02</t>
        </is>
      </c>
      <c r="D152" s="4" t="inlineStr">
        <is>
          <t>Other branch and restaurant users do not receive scoped notifications</t>
        </is>
      </c>
      <c r="E152" s="4" t="inlineStr">
        <is>
          <t>Verify, without assuming a pass result, that the release candidate correctly enforces: Other branch and restaurant users do not receive scoped notifications.</t>
        </is>
      </c>
      <c r="F152" s="4" t="inlineStr">
        <is>
          <t>Authorization</t>
        </is>
      </c>
      <c r="G152" s="4" t="inlineStr">
        <is>
          <t>High</t>
        </is>
      </c>
      <c r="H152" s="4" t="inlineStr">
        <is>
          <t>High</t>
        </is>
      </c>
      <c r="I152" s="4" t="inlineStr">
        <is>
          <t>Synthetic users have distinct branch/restaurant assignments; polling or API inspection is available.</t>
        </is>
      </c>
      <c r="J152" s="4" t="inlineStr">
        <is>
          <t>Use only named synthetic records from the Test Data Plan; capture generated IDs and baseline values in evidence. Never use real credentials, customer PII or secrets.</t>
        </is>
      </c>
      <c r="K152" s="4" t="inlineStr">
        <is>
          <t>Coordinator / Waiter / scoped recipient</t>
        </is>
      </c>
      <c r="L152" s="4" t="inlineStr">
        <is>
          <t>Restaurant A / Branch A1 unless the case explicitly tests another scope</t>
        </is>
      </c>
      <c r="M152" s="4" t="inlineStr">
        <is>
          <t>1. Sign in as Coordinator / Waiter / scoped recipient, or remain anonymous when the case requires it.
2. Record relevant UI, API and database baseline identifiers, statuses, counts and balances.
3. Use the documented page/API to verify that other branch and restaurant users do not receive scoped notifications.
4. Refresh or repeat through an independent client where concurrency, polling or idempotency applies.
5. Compare the outcome, scope, audit fields and side effects with the expected result; capture evidence.</t>
        </is>
      </c>
      <c r="N152" s="4" t="inlineStr">
        <is>
          <t>The release candidate demonstrates the specified behavior exactly and only within the actor's authorized scope: Other branch and restaurant users do not receive scoped notifications. No unrelated record changes.</t>
        </is>
      </c>
      <c r="O152" s="4" t="inlineStr">
        <is>
          <t>Reverse only synthetic changes through supported UI/API, or restore the approved isolated snapshot; confirm no residual locks, sessions, occupied tables or stock deltas.</t>
        </is>
      </c>
      <c r="P152" s="4" t="inlineStr">
        <is>
          <t>Yes</t>
        </is>
      </c>
      <c r="Q152" s="4" t="inlineStr">
        <is>
          <t>Timestamped screenshots for UI; request/response with secrets redacted for API; query IDs/counts/balances for transactions; export/build artifact or monitoring trace where applicable.</t>
        </is>
      </c>
      <c r="R152" s="4" t="inlineStr">
        <is>
          <t>Planned / Not Yet Executed</t>
        </is>
      </c>
      <c r="S152" s="4" t="inlineStr"/>
      <c r="T152" s="4" t="inlineStr"/>
      <c r="U152" s="4" t="inlineStr"/>
      <c r="V152" s="4" t="inlineStr"/>
      <c r="W152" s="4" t="inlineStr"/>
      <c r="X152" s="4" t="inlineStr"/>
    </row>
    <row r="153" ht="72" customHeight="1">
      <c r="A153" s="4" t="inlineStr">
        <is>
          <t>NOTIF-004</t>
        </is>
      </c>
      <c r="B153" s="4" t="inlineStr">
        <is>
          <t>Notifications</t>
        </is>
      </c>
      <c r="C153" s="4" t="inlineStr">
        <is>
          <t>FR-N01, NFR-02</t>
        </is>
      </c>
      <c r="D153" s="4" t="inlineStr">
        <is>
          <t>User marks notification read with durable state</t>
        </is>
      </c>
      <c r="E153" s="4" t="inlineStr">
        <is>
          <t>Verify, without assuming a pass result, that the release candidate correctly enforces: User marks notification read with durable state.</t>
        </is>
      </c>
      <c r="F153" s="4" t="inlineStr">
        <is>
          <t>Positive</t>
        </is>
      </c>
      <c r="G153" s="4" t="inlineStr">
        <is>
          <t>Medium</t>
        </is>
      </c>
      <c r="H153" s="4" t="inlineStr">
        <is>
          <t>Medium</t>
        </is>
      </c>
      <c r="I153" s="4" t="inlineStr">
        <is>
          <t>Synthetic users have distinct branch/restaurant assignments; polling or API inspection is available.</t>
        </is>
      </c>
      <c r="J153" s="4" t="inlineStr">
        <is>
          <t>Use only named synthetic records from the Test Data Plan; capture generated IDs and baseline values in evidence. Never use real credentials, customer PII or secrets.</t>
        </is>
      </c>
      <c r="K153" s="4" t="inlineStr">
        <is>
          <t>Coordinator / Waiter / scoped recipient</t>
        </is>
      </c>
      <c r="L153" s="4" t="inlineStr">
        <is>
          <t>Restaurant A / Branch A1 unless the case explicitly tests another scope</t>
        </is>
      </c>
      <c r="M153" s="4" t="inlineStr">
        <is>
          <t>1. Sign in as Coordinator / Waiter / scoped recipient, or remain anonymous when the case requires it.
2. Record relevant UI, API and database baseline identifiers, statuses, counts and balances.
3. Use the documented page/API to verify that user marks notification read with durable state.
4. Refresh or repeat through an independent client where concurrency, polling or idempotency applies.
5. Compare the outcome, scope, audit fields and side effects with the expected result; capture evidence.</t>
        </is>
      </c>
      <c r="N153" s="4" t="inlineStr">
        <is>
          <t>The release candidate demonstrates the specified behavior exactly and only within the actor's authorized scope: User marks notification read with durable state. No unrelated record changes.</t>
        </is>
      </c>
      <c r="O153" s="4" t="inlineStr">
        <is>
          <t>Reverse only synthetic changes through supported UI/API, or restore the approved isolated snapshot; confirm no residual locks, sessions, occupied tables or stock deltas.</t>
        </is>
      </c>
      <c r="P153" s="4" t="inlineStr">
        <is>
          <t>Yes</t>
        </is>
      </c>
      <c r="Q153" s="4" t="inlineStr">
        <is>
          <t>Timestamped screenshots for UI; request/response with secrets redacted for API; query IDs/counts/balances for transactions; export/build artifact or monitoring trace where applicable.</t>
        </is>
      </c>
      <c r="R153" s="4" t="inlineStr">
        <is>
          <t>Planned / Not Yet Executed</t>
        </is>
      </c>
      <c r="S153" s="4" t="inlineStr"/>
      <c r="T153" s="4" t="inlineStr"/>
      <c r="U153" s="4" t="inlineStr"/>
      <c r="V153" s="4" t="inlineStr"/>
      <c r="W153" s="4" t="inlineStr"/>
      <c r="X153" s="4" t="inlineStr"/>
    </row>
    <row r="154" ht="72" customHeight="1">
      <c r="A154" s="4" t="inlineStr">
        <is>
          <t>NOTIF-005</t>
        </is>
      </c>
      <c r="B154" s="4" t="inlineStr">
        <is>
          <t>Notifications</t>
        </is>
      </c>
      <c r="C154" s="4" t="inlineStr">
        <is>
          <t>FR-N01, NFR-02</t>
        </is>
      </c>
      <c r="D154" s="4" t="inlineStr">
        <is>
          <t>One event does not create duplicate notifications</t>
        </is>
      </c>
      <c r="E154" s="4" t="inlineStr">
        <is>
          <t>Verify, without assuming a pass result, that the release candidate correctly enforces: One event does not create duplicate notifications.</t>
        </is>
      </c>
      <c r="F154" s="4" t="inlineStr">
        <is>
          <t>Recovery</t>
        </is>
      </c>
      <c r="G154" s="4" t="inlineStr">
        <is>
          <t>High</t>
        </is>
      </c>
      <c r="H154" s="4" t="inlineStr">
        <is>
          <t>High</t>
        </is>
      </c>
      <c r="I154" s="4" t="inlineStr">
        <is>
          <t>Synthetic users have distinct branch/restaurant assignments; polling or API inspection is available.</t>
        </is>
      </c>
      <c r="J154" s="4" t="inlineStr">
        <is>
          <t>Use only named synthetic records from the Test Data Plan; capture generated IDs and baseline values in evidence. Never use real credentials, customer PII or secrets.</t>
        </is>
      </c>
      <c r="K154" s="4" t="inlineStr">
        <is>
          <t>Coordinator / Waiter / scoped recipient</t>
        </is>
      </c>
      <c r="L154" s="4" t="inlineStr">
        <is>
          <t>Restaurant A / Branch A1 unless the case explicitly tests another scope</t>
        </is>
      </c>
      <c r="M154" s="4" t="inlineStr">
        <is>
          <t>1. Sign in as Coordinator / Waiter / scoped recipient, or remain anonymous when the case requires it.
2. Record relevant UI, API and database baseline identifiers, statuses, counts and balances.
3. Use the documented page/API to verify that one event does not create duplicate notifications.
4. Refresh or repeat through an independent client where concurrency, polling or idempotency applies.
5. Compare the outcome, scope, audit fields and side effects with the expected result; capture evidence.</t>
        </is>
      </c>
      <c r="N154" s="4" t="inlineStr">
        <is>
          <t>The release candidate demonstrates the specified behavior exactly and only within the actor's authorized scope: One event does not create duplicate notifications. No unrelated record changes.</t>
        </is>
      </c>
      <c r="O154" s="4" t="inlineStr">
        <is>
          <t>Reverse only synthetic changes through supported UI/API, or restore the approved isolated snapshot; confirm no residual locks, sessions, occupied tables or stock deltas.</t>
        </is>
      </c>
      <c r="P154" s="4" t="inlineStr">
        <is>
          <t>Yes</t>
        </is>
      </c>
      <c r="Q154" s="4" t="inlineStr">
        <is>
          <t>Timestamped screenshots for UI; request/response with secrets redacted for API; query IDs/counts/balances for transactions; export/build artifact or monitoring trace where applicable.</t>
        </is>
      </c>
      <c r="R154" s="4" t="inlineStr">
        <is>
          <t>Planned / Not Yet Executed</t>
        </is>
      </c>
      <c r="S154" s="4" t="inlineStr"/>
      <c r="T154" s="4" t="inlineStr"/>
      <c r="U154" s="4" t="inlineStr"/>
      <c r="V154" s="4" t="inlineStr"/>
      <c r="W154" s="4" t="inlineStr"/>
      <c r="X154" s="4" t="inlineStr"/>
    </row>
    <row r="155" ht="72" customHeight="1">
      <c r="A155" s="4" t="inlineStr">
        <is>
          <t>NOTIF-006</t>
        </is>
      </c>
      <c r="B155" s="4" t="inlineStr">
        <is>
          <t>Notifications</t>
        </is>
      </c>
      <c r="C155" s="4" t="inlineStr">
        <is>
          <t>FR-N01, NFR-02</t>
        </is>
      </c>
      <c r="D155" s="4" t="inlineStr">
        <is>
          <t>Notification empty error retry and polling states are safe</t>
        </is>
      </c>
      <c r="E155" s="4" t="inlineStr">
        <is>
          <t>Verify, without assuming a pass result, that the release candidate correctly enforces: Notification empty error retry and polling states are safe.</t>
        </is>
      </c>
      <c r="F155" s="4" t="inlineStr">
        <is>
          <t>Positive</t>
        </is>
      </c>
      <c r="G155" s="4" t="inlineStr">
        <is>
          <t>Medium</t>
        </is>
      </c>
      <c r="H155" s="4" t="inlineStr">
        <is>
          <t>Medium</t>
        </is>
      </c>
      <c r="I155" s="4" t="inlineStr">
        <is>
          <t>Synthetic users have distinct branch/restaurant assignments; polling or API inspection is available.</t>
        </is>
      </c>
      <c r="J155" s="4" t="inlineStr">
        <is>
          <t>Use only named synthetic records from the Test Data Plan; capture generated IDs and baseline values in evidence. Never use real credentials, customer PII or secrets.</t>
        </is>
      </c>
      <c r="K155" s="4" t="inlineStr">
        <is>
          <t>Coordinator / Waiter / scoped recipient</t>
        </is>
      </c>
      <c r="L155" s="4" t="inlineStr">
        <is>
          <t>Restaurant A / Branch A1 unless the case explicitly tests another scope</t>
        </is>
      </c>
      <c r="M155" s="4" t="inlineStr">
        <is>
          <t>1. Sign in as Coordinator / Waiter / scoped recipient, or remain anonymous when the case requires it.
2. Record relevant UI, API and database baseline identifiers, statuses, counts and balances.
3. Use the documented page/API to verify that notification empty error retry and polling states are safe.
4. Refresh or repeat through an independent client where concurrency, polling or idempotency applies.
5. Compare the outcome, scope, audit fields and side effects with the expected result; capture evidence.</t>
        </is>
      </c>
      <c r="N155" s="4" t="inlineStr">
        <is>
          <t>The release candidate demonstrates the specified behavior exactly and only within the actor's authorized scope: Notification empty error retry and polling states are safe. No unrelated record changes.</t>
        </is>
      </c>
      <c r="O155" s="4" t="inlineStr">
        <is>
          <t>Reverse only synthetic changes through supported UI/API, or restore the approved isolated snapshot; confirm no residual locks, sessions, occupied tables or stock deltas.</t>
        </is>
      </c>
      <c r="P155" s="4" t="inlineStr">
        <is>
          <t>Yes</t>
        </is>
      </c>
      <c r="Q155" s="4" t="inlineStr">
        <is>
          <t>Timestamped screenshots for UI; request/response with secrets redacted for API; query IDs/counts/balances for transactions; export/build artifact or monitoring trace where applicable.</t>
        </is>
      </c>
      <c r="R155" s="4" t="inlineStr">
        <is>
          <t>Planned / Not Yet Executed</t>
        </is>
      </c>
      <c r="S155" s="4" t="inlineStr"/>
      <c r="T155" s="4" t="inlineStr"/>
      <c r="U155" s="4" t="inlineStr"/>
      <c r="V155" s="4" t="inlineStr"/>
      <c r="W155" s="4" t="inlineStr"/>
      <c r="X155" s="4" t="inlineStr"/>
    </row>
    <row r="156" ht="72" customHeight="1">
      <c r="A156" s="4" t="inlineStr">
        <is>
          <t>RPT-001</t>
        </is>
      </c>
      <c r="B156" s="4" t="inlineStr">
        <is>
          <t>Reports &amp; Exports</t>
        </is>
      </c>
      <c r="C156" s="4" t="inlineStr">
        <is>
          <t>FR-D02, FR-D03, FR-P03</t>
        </is>
      </c>
      <c r="D156" s="4" t="inlineStr">
        <is>
          <t>Management report tabs expose the six required export areas</t>
        </is>
      </c>
      <c r="E156" s="4" t="inlineStr">
        <is>
          <t>Verify, without assuming a pass result, that the release candidate correctly enforces: Management report tabs expose the six required export areas.</t>
        </is>
      </c>
      <c r="F156" s="4" t="inlineStr">
        <is>
          <t>Positive</t>
        </is>
      </c>
      <c r="G156" s="4" t="inlineStr">
        <is>
          <t>Medium</t>
        </is>
      </c>
      <c r="H156" s="4" t="inlineStr">
        <is>
          <t>Medium</t>
        </is>
      </c>
      <c r="I156" s="4" t="inlineStr">
        <is>
          <t>Known source transactions span dates, methods, roles and branches.</t>
        </is>
      </c>
      <c r="J156" s="4" t="inlineStr">
        <is>
          <t>Use only named synthetic records from the Test Data Plan; capture generated IDs and baseline values in evidence. Never use real credentials, customer PII or secrets.</t>
        </is>
      </c>
      <c r="K156" s="4" t="inlineStr">
        <is>
          <t>Admin / Owner / Manager / Cashier</t>
        </is>
      </c>
      <c r="L156" s="4" t="inlineStr">
        <is>
          <t>Restaurant A / Branch A1 unless the case explicitly tests another scope</t>
        </is>
      </c>
      <c r="M156" s="4" t="inlineStr">
        <is>
          <t>1. Sign in as Admin / Owner / Manager / Cashier, or remain anonymous when the case requires it.
2. Record relevant UI, API and database baseline identifiers, statuses, counts and balances.
3. Use the documented page/API to verify that management report tabs expose the six required export areas.
4. Refresh or repeat through an independent client where concurrency, polling or idempotency applies.
5. Compare the outcome, scope, audit fields and side effects with the expected result; capture evidence.</t>
        </is>
      </c>
      <c r="N156" s="4" t="inlineStr">
        <is>
          <t>The release candidate demonstrates the specified behavior exactly and only within the actor's authorized scope: Management report tabs expose the six required export areas. No unrelated record changes.</t>
        </is>
      </c>
      <c r="O156" s="4" t="inlineStr">
        <is>
          <t>Reverse only synthetic changes through supported UI/API, or restore the approved isolated snapshot; confirm no residual locks, sessions, occupied tables or stock deltas.</t>
        </is>
      </c>
      <c r="P156" s="4" t="inlineStr">
        <is>
          <t>Yes</t>
        </is>
      </c>
      <c r="Q156" s="4" t="inlineStr">
        <is>
          <t>Timestamped screenshots for UI; request/response with secrets redacted for API; query IDs/counts/balances for transactions; export/build artifact or monitoring trace where applicable.</t>
        </is>
      </c>
      <c r="R156" s="4" t="inlineStr">
        <is>
          <t>Planned / Not Yet Executed</t>
        </is>
      </c>
      <c r="S156" s="4" t="inlineStr"/>
      <c r="T156" s="4" t="inlineStr"/>
      <c r="U156" s="4" t="inlineStr"/>
      <c r="V156" s="4" t="inlineStr"/>
      <c r="W156" s="4" t="inlineStr"/>
      <c r="X156" s="4" t="inlineStr"/>
    </row>
    <row r="157" ht="72" customHeight="1">
      <c r="A157" s="4" t="inlineStr">
        <is>
          <t>RPT-002</t>
        </is>
      </c>
      <c r="B157" s="4" t="inlineStr">
        <is>
          <t>Reports &amp; Exports</t>
        </is>
      </c>
      <c r="C157" s="4" t="inlineStr">
        <is>
          <t>FR-D02, FR-D03, FR-P03</t>
        </is>
      </c>
      <c r="D157" s="4" t="inlineStr">
        <is>
          <t>Cashier report exposes only Sales and Items Purchased</t>
        </is>
      </c>
      <c r="E157" s="4" t="inlineStr">
        <is>
          <t>Verify, without assuming a pass result, that the release candidate correctly enforces: Cashier report exposes only Sales and Items Purchased.</t>
        </is>
      </c>
      <c r="F157" s="4" t="inlineStr">
        <is>
          <t>Authorization</t>
        </is>
      </c>
      <c r="G157" s="4" t="inlineStr">
        <is>
          <t>High</t>
        </is>
      </c>
      <c r="H157" s="4" t="inlineStr">
        <is>
          <t>High</t>
        </is>
      </c>
      <c r="I157" s="4" t="inlineStr">
        <is>
          <t>Known source transactions span dates, methods, roles and branches.</t>
        </is>
      </c>
      <c r="J157" s="4" t="inlineStr">
        <is>
          <t>Use only named synthetic records from the Test Data Plan; capture generated IDs and baseline values in evidence. Never use real credentials, customer PII or secrets.</t>
        </is>
      </c>
      <c r="K157" s="4" t="inlineStr">
        <is>
          <t>Admin / Owner / Manager / Cashier</t>
        </is>
      </c>
      <c r="L157" s="4" t="inlineStr">
        <is>
          <t>Restaurant A / Branch A1 unless the case explicitly tests another scope</t>
        </is>
      </c>
      <c r="M157" s="4" t="inlineStr">
        <is>
          <t>1. Sign in as Admin / Owner / Manager / Cashier, or remain anonymous when the case requires it.
2. Record relevant UI, API and database baseline identifiers, statuses, counts and balances.
3. Use the documented page/API to verify that cashier report exposes only Sales and Items Purchased.
4. Refresh or repeat through an independent client where concurrency, polling or idempotency applies.
5. Compare the outcome, scope, audit fields and side effects with the expected result; capture evidence.</t>
        </is>
      </c>
      <c r="N157" s="4" t="inlineStr">
        <is>
          <t>The release candidate demonstrates the specified behavior exactly and only within the actor's authorized scope: Cashier report exposes only Sales and Items Purchased. No unrelated record changes.</t>
        </is>
      </c>
      <c r="O157" s="4" t="inlineStr">
        <is>
          <t>Reverse only synthetic changes through supported UI/API, or restore the approved isolated snapshot; confirm no residual locks, sessions, occupied tables or stock deltas.</t>
        </is>
      </c>
      <c r="P157" s="4" t="inlineStr">
        <is>
          <t>Yes</t>
        </is>
      </c>
      <c r="Q157" s="4" t="inlineStr">
        <is>
          <t>Timestamped screenshots for UI; request/response with secrets redacted for API; query IDs/counts/balances for transactions; export/build artifact or monitoring trace where applicable.</t>
        </is>
      </c>
      <c r="R157" s="4" t="inlineStr">
        <is>
          <t>Planned / Not Yet Executed</t>
        </is>
      </c>
      <c r="S157" s="4" t="inlineStr"/>
      <c r="T157" s="4" t="inlineStr"/>
      <c r="U157" s="4" t="inlineStr"/>
      <c r="V157" s="4" t="inlineStr"/>
      <c r="W157" s="4" t="inlineStr"/>
      <c r="X157" s="4" t="inlineStr"/>
    </row>
    <row r="158" ht="72" customHeight="1">
      <c r="A158" s="4" t="inlineStr">
        <is>
          <t>RPT-003</t>
        </is>
      </c>
      <c r="B158" s="4" t="inlineStr">
        <is>
          <t>Reports &amp; Exports</t>
        </is>
      </c>
      <c r="C158" s="4" t="inlineStr">
        <is>
          <t>FR-D02, FR-D03, FR-P03</t>
        </is>
      </c>
      <c r="D158" s="4" t="inlineStr">
        <is>
          <t>Date status role category and payment filters return exact rows</t>
        </is>
      </c>
      <c r="E158" s="4" t="inlineStr">
        <is>
          <t>Verify, without assuming a pass result, that the release candidate correctly enforces: Date status role category and payment filters return exact rows.</t>
        </is>
      </c>
      <c r="F158" s="4" t="inlineStr">
        <is>
          <t>Authorization</t>
        </is>
      </c>
      <c r="G158" s="4" t="inlineStr">
        <is>
          <t>Critical</t>
        </is>
      </c>
      <c r="H158" s="4" t="inlineStr">
        <is>
          <t>Critical</t>
        </is>
      </c>
      <c r="I158" s="4" t="inlineStr">
        <is>
          <t>Known source transactions span dates, methods, roles and branches.</t>
        </is>
      </c>
      <c r="J158" s="4" t="inlineStr">
        <is>
          <t>Use only named synthetic records from the Test Data Plan; capture generated IDs and baseline values in evidence. Never use real credentials, customer PII or secrets.</t>
        </is>
      </c>
      <c r="K158" s="4" t="inlineStr">
        <is>
          <t>Admin / Owner / Manager / Cashier</t>
        </is>
      </c>
      <c r="L158" s="4" t="inlineStr">
        <is>
          <t>Restaurant A / Branch A1 unless the case explicitly tests another scope</t>
        </is>
      </c>
      <c r="M158" s="4" t="inlineStr">
        <is>
          <t>1. Sign in as Admin / Owner / Manager / Cashier, or remain anonymous when the case requires it.
2. Record relevant UI, API and database baseline identifiers, statuses, counts and balances.
3. Use the documented page/API to verify that date status role category and payment filters return exact rows.
4. Refresh or repeat through an independent client where concurrency, polling or idempotency applies.
5. Compare the outcome, scope, audit fields and side effects with the expected result; capture evidence.</t>
        </is>
      </c>
      <c r="N158" s="4" t="inlineStr">
        <is>
          <t>The release candidate demonstrates the specified behavior exactly and only within the actor's authorized scope: Date status role category and payment filters return exact rows. No unrelated record changes.</t>
        </is>
      </c>
      <c r="O158" s="4" t="inlineStr">
        <is>
          <t>Reverse only synthetic changes through supported UI/API, or restore the approved isolated snapshot; confirm no residual locks, sessions, occupied tables or stock deltas.</t>
        </is>
      </c>
      <c r="P158" s="4" t="inlineStr">
        <is>
          <t>Yes</t>
        </is>
      </c>
      <c r="Q158" s="4" t="inlineStr">
        <is>
          <t>Timestamped screenshots for UI; request/response with secrets redacted for API; query IDs/counts/balances for transactions; export/build artifact or monitoring trace where applicable.</t>
        </is>
      </c>
      <c r="R158" s="4" t="inlineStr">
        <is>
          <t>Planned / Not Yet Executed</t>
        </is>
      </c>
      <c r="S158" s="4" t="inlineStr"/>
      <c r="T158" s="4" t="inlineStr"/>
      <c r="U158" s="4" t="inlineStr"/>
      <c r="V158" s="4" t="inlineStr"/>
      <c r="W158" s="4" t="inlineStr"/>
      <c r="X158" s="4" t="inlineStr"/>
    </row>
    <row r="159" ht="72" customHeight="1">
      <c r="A159" s="4" t="inlineStr">
        <is>
          <t>RPT-004</t>
        </is>
      </c>
      <c r="B159" s="4" t="inlineStr">
        <is>
          <t>Reports &amp; Exports</t>
        </is>
      </c>
      <c r="C159" s="4" t="inlineStr">
        <is>
          <t>FR-D02, FR-D03, FR-P03</t>
        </is>
      </c>
      <c r="D159" s="4" t="inlineStr">
        <is>
          <t>Report totals reconcile to source orders payments and inventory</t>
        </is>
      </c>
      <c r="E159" s="4" t="inlineStr">
        <is>
          <t>Verify, without assuming a pass result, that the release candidate correctly enforces: Report totals reconcile to source orders payments and inventory.</t>
        </is>
      </c>
      <c r="F159" s="4" t="inlineStr">
        <is>
          <t>Integration</t>
        </is>
      </c>
      <c r="G159" s="4" t="inlineStr">
        <is>
          <t>Critical</t>
        </is>
      </c>
      <c r="H159" s="4" t="inlineStr">
        <is>
          <t>Critical</t>
        </is>
      </c>
      <c r="I159" s="4" t="inlineStr">
        <is>
          <t>Known source transactions span dates, methods, roles and branches.</t>
        </is>
      </c>
      <c r="J159" s="4" t="inlineStr">
        <is>
          <t>Use only named synthetic records from the Test Data Plan; capture generated IDs and baseline values in evidence. Never use real credentials, customer PII or secrets.</t>
        </is>
      </c>
      <c r="K159" s="4" t="inlineStr">
        <is>
          <t>Admin / Owner / Manager / Cashier</t>
        </is>
      </c>
      <c r="L159" s="4" t="inlineStr">
        <is>
          <t>Restaurant A / Branch A1 unless the case explicitly tests another scope</t>
        </is>
      </c>
      <c r="M159" s="4" t="inlineStr">
        <is>
          <t>1. Sign in as Admin / Owner / Manager / Cashier, or remain anonymous when the case requires it.
2. Record relevant UI, API and database baseline identifiers, statuses, counts and balances.
3. Use the documented page/API to verify that report totals reconcile to source orders payments and inventory.
4. Refresh or repeat through an independent client where concurrency, polling or idempotency applies.
5. Compare the outcome, scope, audit fields and side effects with the expected result; capture evidence.</t>
        </is>
      </c>
      <c r="N159" s="4" t="inlineStr">
        <is>
          <t>Displayed/exported values exactly equal independently calculated values from authorized source records, with correct scope, date boundary and ETB precision.</t>
        </is>
      </c>
      <c r="O159" s="4" t="inlineStr">
        <is>
          <t>Reverse only synthetic changes through supported UI/API, or restore the approved isolated snapshot; confirm no residual locks, sessions, occupied tables or stock deltas.</t>
        </is>
      </c>
      <c r="P159" s="4" t="inlineStr">
        <is>
          <t>Yes</t>
        </is>
      </c>
      <c r="Q159" s="4" t="inlineStr">
        <is>
          <t>Timestamped screenshots for UI; request/response with secrets redacted for API; query IDs/counts/balances for transactions; export/build artifact or monitoring trace where applicable.</t>
        </is>
      </c>
      <c r="R159" s="4" t="inlineStr">
        <is>
          <t>Planned / Not Yet Executed</t>
        </is>
      </c>
      <c r="S159" s="4" t="inlineStr"/>
      <c r="T159" s="4" t="inlineStr"/>
      <c r="U159" s="4" t="inlineStr"/>
      <c r="V159" s="4" t="inlineStr"/>
      <c r="W159" s="4" t="inlineStr"/>
      <c r="X159" s="4" t="inlineStr"/>
    </row>
    <row r="160" ht="72" customHeight="1">
      <c r="A160" s="4" t="inlineStr">
        <is>
          <t>RPT-005</t>
        </is>
      </c>
      <c r="B160" s="4" t="inlineStr">
        <is>
          <t>Reports &amp; Exports</t>
        </is>
      </c>
      <c r="C160" s="4" t="inlineStr">
        <is>
          <t>FR-D02, FR-D03, FR-P03</t>
        </is>
      </c>
      <c r="D160" s="4" t="inlineStr">
        <is>
          <t>Empty report range presents a clear zero-data state</t>
        </is>
      </c>
      <c r="E160" s="4" t="inlineStr">
        <is>
          <t>Verify, without assuming a pass result, that the release candidate correctly enforces: Empty report range presents a clear zero-data state.</t>
        </is>
      </c>
      <c r="F160" s="4" t="inlineStr">
        <is>
          <t>Boundary</t>
        </is>
      </c>
      <c r="G160" s="4" t="inlineStr">
        <is>
          <t>Medium</t>
        </is>
      </c>
      <c r="H160" s="4" t="inlineStr">
        <is>
          <t>Medium</t>
        </is>
      </c>
      <c r="I160" s="4" t="inlineStr">
        <is>
          <t>Known source transactions span dates, methods, roles and branches.</t>
        </is>
      </c>
      <c r="J160" s="4" t="inlineStr">
        <is>
          <t>Use only named synthetic records from the Test Data Plan; capture generated IDs and baseline values in evidence. Never use real credentials, customer PII or secrets.</t>
        </is>
      </c>
      <c r="K160" s="4" t="inlineStr">
        <is>
          <t>Admin / Owner / Manager / Cashier</t>
        </is>
      </c>
      <c r="L160" s="4" t="inlineStr">
        <is>
          <t>Restaurant A / Branch A1 unless the case explicitly tests another scope</t>
        </is>
      </c>
      <c r="M160" s="4" t="inlineStr">
        <is>
          <t>1. Sign in as Admin / Owner / Manager / Cashier, or remain anonymous when the case requires it.
2. Record relevant UI, API and database baseline identifiers, statuses, counts and balances.
3. Use the documented page/API to verify that empty report range presents a clear zero-data state.
4. Refresh or repeat through an independent client where concurrency, polling or idempotency applies.
5. Compare the outcome, scope, audit fields and side effects with the expected result; capture evidence.</t>
        </is>
      </c>
      <c r="N160" s="4" t="inlineStr">
        <is>
          <t>The release candidate demonstrates the specified behavior exactly and only within the actor's authorized scope: Empty report range presents a clear zero-data state. No unrelated record changes.</t>
        </is>
      </c>
      <c r="O160" s="4" t="inlineStr">
        <is>
          <t>Reverse only synthetic changes through supported UI/API, or restore the approved isolated snapshot; confirm no residual locks, sessions, occupied tables or stock deltas.</t>
        </is>
      </c>
      <c r="P160" s="4" t="inlineStr">
        <is>
          <t>Yes</t>
        </is>
      </c>
      <c r="Q160" s="4" t="inlineStr">
        <is>
          <t>Timestamped screenshots for UI; request/response with secrets redacted for API; query IDs/counts/balances for transactions; export/build artifact or monitoring trace where applicable.</t>
        </is>
      </c>
      <c r="R160" s="4" t="inlineStr">
        <is>
          <t>Planned / Not Yet Executed</t>
        </is>
      </c>
      <c r="S160" s="4" t="inlineStr"/>
      <c r="T160" s="4" t="inlineStr"/>
      <c r="U160" s="4" t="inlineStr"/>
      <c r="V160" s="4" t="inlineStr"/>
      <c r="W160" s="4" t="inlineStr"/>
      <c r="X160" s="4" t="inlineStr"/>
    </row>
    <row r="161" ht="72" customHeight="1">
      <c r="A161" s="4" t="inlineStr">
        <is>
          <t>RPT-006</t>
        </is>
      </c>
      <c r="B161" s="4" t="inlineStr">
        <is>
          <t>Reports &amp; Exports</t>
        </is>
      </c>
      <c r="C161" s="4" t="inlineStr">
        <is>
          <t>FR-D02, FR-D03, FR-P03</t>
        </is>
      </c>
      <c r="D161" s="4" t="inlineStr">
        <is>
          <t>Excel export opens and contains filtered rows and headers</t>
        </is>
      </c>
      <c r="E161" s="4" t="inlineStr">
        <is>
          <t>Verify, without assuming a pass result, that the release candidate correctly enforces: Excel export opens and contains filtered rows and headers.</t>
        </is>
      </c>
      <c r="F161" s="4" t="inlineStr">
        <is>
          <t>Positive</t>
        </is>
      </c>
      <c r="G161" s="4" t="inlineStr">
        <is>
          <t>Medium</t>
        </is>
      </c>
      <c r="H161" s="4" t="inlineStr">
        <is>
          <t>Medium</t>
        </is>
      </c>
      <c r="I161" s="4" t="inlineStr">
        <is>
          <t>Known source transactions span dates, methods, roles and branches.</t>
        </is>
      </c>
      <c r="J161" s="4" t="inlineStr">
        <is>
          <t>Use only named synthetic records from the Test Data Plan; capture generated IDs and baseline values in evidence. Never use real credentials, customer PII or secrets.</t>
        </is>
      </c>
      <c r="K161" s="4" t="inlineStr">
        <is>
          <t>Admin / Owner / Manager / Cashier</t>
        </is>
      </c>
      <c r="L161" s="4" t="inlineStr">
        <is>
          <t>Restaurant A / Branch A1 unless the case explicitly tests another scope</t>
        </is>
      </c>
      <c r="M161" s="4" t="inlineStr">
        <is>
          <t>1. Sign in as Admin / Owner / Manager / Cashier, or remain anonymous when the case requires it.
2. Record relevant UI, API and database baseline identifiers, statuses, counts and balances.
3. Use the documented page/API to verify that excel export opens and contains filtered rows and headers.
4. Refresh or repeat through an independent client where concurrency, polling or idempotency applies.
5. Compare the outcome, scope, audit fields and side effects with the expected result; capture evidence.</t>
        </is>
      </c>
      <c r="N161" s="4" t="inlineStr">
        <is>
          <t>The release candidate demonstrates the specified behavior exactly and only within the actor's authorized scope: Excel export opens and contains filtered rows and headers. No unrelated record changes.</t>
        </is>
      </c>
      <c r="O161" s="4" t="inlineStr">
        <is>
          <t>Reverse only synthetic changes through supported UI/API, or restore the approved isolated snapshot; confirm no residual locks, sessions, occupied tables or stock deltas.</t>
        </is>
      </c>
      <c r="P161" s="4" t="inlineStr">
        <is>
          <t>Yes</t>
        </is>
      </c>
      <c r="Q161" s="4" t="inlineStr">
        <is>
          <t>Timestamped screenshots for UI; request/response with secrets redacted for API; query IDs/counts/balances for transactions; export/build artifact or monitoring trace where applicable.</t>
        </is>
      </c>
      <c r="R161" s="4" t="inlineStr">
        <is>
          <t>Planned / Not Yet Executed</t>
        </is>
      </c>
      <c r="S161" s="4" t="inlineStr"/>
      <c r="T161" s="4" t="inlineStr"/>
      <c r="U161" s="4" t="inlineStr"/>
      <c r="V161" s="4" t="inlineStr"/>
      <c r="W161" s="4" t="inlineStr"/>
      <c r="X161" s="4" t="inlineStr"/>
    </row>
    <row r="162" ht="72" customHeight="1">
      <c r="A162" s="4" t="inlineStr">
        <is>
          <t>RPT-007</t>
        </is>
      </c>
      <c r="B162" s="4" t="inlineStr">
        <is>
          <t>Reports &amp; Exports</t>
        </is>
      </c>
      <c r="C162" s="4" t="inlineStr">
        <is>
          <t>FR-D02, FR-D03, FR-P03</t>
        </is>
      </c>
      <c r="D162" s="4" t="inlineStr">
        <is>
          <t>PDF export opens and contains filtered rows and branding</t>
        </is>
      </c>
      <c r="E162" s="4" t="inlineStr">
        <is>
          <t>Verify, without assuming a pass result, that the release candidate correctly enforces: PDF export opens and contains filtered rows and branding.</t>
        </is>
      </c>
      <c r="F162" s="4" t="inlineStr">
        <is>
          <t>Positive</t>
        </is>
      </c>
      <c r="G162" s="4" t="inlineStr">
        <is>
          <t>Medium</t>
        </is>
      </c>
      <c r="H162" s="4" t="inlineStr">
        <is>
          <t>Medium</t>
        </is>
      </c>
      <c r="I162" s="4" t="inlineStr">
        <is>
          <t>Known source transactions span dates, methods, roles and branches.</t>
        </is>
      </c>
      <c r="J162" s="4" t="inlineStr">
        <is>
          <t>Use only named synthetic records from the Test Data Plan; capture generated IDs and baseline values in evidence. Never use real credentials, customer PII or secrets.</t>
        </is>
      </c>
      <c r="K162" s="4" t="inlineStr">
        <is>
          <t>Admin / Owner / Manager / Cashier</t>
        </is>
      </c>
      <c r="L162" s="4" t="inlineStr">
        <is>
          <t>Restaurant A / Branch A1 unless the case explicitly tests another scope</t>
        </is>
      </c>
      <c r="M162" s="4" t="inlineStr">
        <is>
          <t>1. Sign in as Admin / Owner / Manager / Cashier, or remain anonymous when the case requires it.
2. Record relevant UI, API and database baseline identifiers, statuses, counts and balances.
3. Use the documented page/API to verify that pDF export opens and contains filtered rows and branding.
4. Refresh or repeat through an independent client where concurrency, polling or idempotency applies.
5. Compare the outcome, scope, audit fields and side effects with the expected result; capture evidence.</t>
        </is>
      </c>
      <c r="N162" s="4" t="inlineStr">
        <is>
          <t>The release candidate demonstrates the specified behavior exactly and only within the actor's authorized scope: PDF export opens and contains filtered rows and branding. No unrelated record changes.</t>
        </is>
      </c>
      <c r="O162" s="4" t="inlineStr">
        <is>
          <t>Reverse only synthetic changes through supported UI/API, or restore the approved isolated snapshot; confirm no residual locks, sessions, occupied tables or stock deltas.</t>
        </is>
      </c>
      <c r="P162" s="4" t="inlineStr">
        <is>
          <t>Yes</t>
        </is>
      </c>
      <c r="Q162" s="4" t="inlineStr">
        <is>
          <t>Timestamped screenshots for UI; request/response with secrets redacted for API; query IDs/counts/balances for transactions; export/build artifact or monitoring trace where applicable.</t>
        </is>
      </c>
      <c r="R162" s="4" t="inlineStr">
        <is>
          <t>Planned / Not Yet Executed</t>
        </is>
      </c>
      <c r="S162" s="4" t="inlineStr"/>
      <c r="T162" s="4" t="inlineStr"/>
      <c r="U162" s="4" t="inlineStr"/>
      <c r="V162" s="4" t="inlineStr"/>
      <c r="W162" s="4" t="inlineStr"/>
      <c r="X162" s="4" t="inlineStr"/>
    </row>
    <row r="163" ht="72" customHeight="1">
      <c r="A163" s="4" t="inlineStr">
        <is>
          <t>RPT-008</t>
        </is>
      </c>
      <c r="B163" s="4" t="inlineStr">
        <is>
          <t>Reports &amp; Exports</t>
        </is>
      </c>
      <c r="C163" s="4" t="inlineStr">
        <is>
          <t>FR-D02, FR-D03, FR-P03</t>
        </is>
      </c>
      <c r="D163" s="4" t="inlineStr">
        <is>
          <t>Export filename and generated timestamp are traceable</t>
        </is>
      </c>
      <c r="E163" s="4" t="inlineStr">
        <is>
          <t>Verify, without assuming a pass result, that the release candidate correctly enforces: Export filename and generated timestamp are traceable.</t>
        </is>
      </c>
      <c r="F163" s="4" t="inlineStr">
        <is>
          <t>Positive</t>
        </is>
      </c>
      <c r="G163" s="4" t="inlineStr">
        <is>
          <t>Medium</t>
        </is>
      </c>
      <c r="H163" s="4" t="inlineStr">
        <is>
          <t>Medium</t>
        </is>
      </c>
      <c r="I163" s="4" t="inlineStr">
        <is>
          <t>Known source transactions span dates, methods, roles and branches.</t>
        </is>
      </c>
      <c r="J163" s="4" t="inlineStr">
        <is>
          <t>Use only named synthetic records from the Test Data Plan; capture generated IDs and baseline values in evidence. Never use real credentials, customer PII or secrets.</t>
        </is>
      </c>
      <c r="K163" s="4" t="inlineStr">
        <is>
          <t>Admin / Owner / Manager / Cashier</t>
        </is>
      </c>
      <c r="L163" s="4" t="inlineStr">
        <is>
          <t>Restaurant A / Branch A1 unless the case explicitly tests another scope</t>
        </is>
      </c>
      <c r="M163" s="4" t="inlineStr">
        <is>
          <t>1. Sign in as Admin / Owner / Manager / Cashier, or remain anonymous when the case requires it.
2. Record relevant UI, API and database baseline identifiers, statuses, counts and balances.
3. Use the documented page/API to verify that export filename and generated timestamp are traceable.
4. Refresh or repeat through an independent client where concurrency, polling or idempotency applies.
5. Compare the outcome, scope, audit fields and side effects with the expected result; capture evidence.</t>
        </is>
      </c>
      <c r="N163" s="4" t="inlineStr">
        <is>
          <t>The release candidate demonstrates the specified behavior exactly and only within the actor's authorized scope: Export filename and generated timestamp are traceable. No unrelated record changes.</t>
        </is>
      </c>
      <c r="O163" s="4" t="inlineStr">
        <is>
          <t>Reverse only synthetic changes through supported UI/API, or restore the approved isolated snapshot; confirm no residual locks, sessions, occupied tables or stock deltas.</t>
        </is>
      </c>
      <c r="P163" s="4" t="inlineStr">
        <is>
          <t>Yes</t>
        </is>
      </c>
      <c r="Q163" s="4" t="inlineStr">
        <is>
          <t>Timestamped screenshots for UI; request/response with secrets redacted for API; query IDs/counts/balances for transactions; export/build artifact or monitoring trace where applicable.</t>
        </is>
      </c>
      <c r="R163" s="4" t="inlineStr">
        <is>
          <t>Planned / Not Yet Executed</t>
        </is>
      </c>
      <c r="S163" s="4" t="inlineStr"/>
      <c r="T163" s="4" t="inlineStr"/>
      <c r="U163" s="4" t="inlineStr"/>
      <c r="V163" s="4" t="inlineStr"/>
      <c r="W163" s="4" t="inlineStr"/>
      <c r="X163" s="4" t="inlineStr"/>
    </row>
    <row r="164" ht="72" customHeight="1">
      <c r="A164" s="4" t="inlineStr">
        <is>
          <t>RPT-009</t>
        </is>
      </c>
      <c r="B164" s="4" t="inlineStr">
        <is>
          <t>Reports &amp; Exports</t>
        </is>
      </c>
      <c r="C164" s="4" t="inlineStr">
        <is>
          <t>FR-D02, FR-D03, FR-P03</t>
        </is>
      </c>
      <c r="D164" s="4" t="inlineStr">
        <is>
          <t>Unauthorized report area and cross-scope data are denied</t>
        </is>
      </c>
      <c r="E164" s="4" t="inlineStr">
        <is>
          <t>Verify, without assuming a pass result, that the release candidate correctly enforces: Unauthorized report area and cross-scope data are denied.</t>
        </is>
      </c>
      <c r="F164" s="4" t="inlineStr">
        <is>
          <t>Negative</t>
        </is>
      </c>
      <c r="G164" s="4" t="inlineStr">
        <is>
          <t>Medium</t>
        </is>
      </c>
      <c r="H164" s="4" t="inlineStr">
        <is>
          <t>Medium</t>
        </is>
      </c>
      <c r="I164" s="4" t="inlineStr">
        <is>
          <t>Known source transactions span dates, methods, roles and branches.</t>
        </is>
      </c>
      <c r="J164" s="4" t="inlineStr">
        <is>
          <t>Use only named synthetic records from the Test Data Plan; capture generated IDs and baseline values in evidence. Never use real credentials, customer PII or secrets.</t>
        </is>
      </c>
      <c r="K164" s="4" t="inlineStr">
        <is>
          <t>Admin / Owner / Manager / Cashier</t>
        </is>
      </c>
      <c r="L164" s="4" t="inlineStr">
        <is>
          <t>Restaurant A / Branch A1 unless the case explicitly tests another scope</t>
        </is>
      </c>
      <c r="M164" s="4" t="inlineStr">
        <is>
          <t>1. Sign in as Admin / Owner / Manager / Cashier, or remain anonymous when the case requires it.
2. Record relevant UI, API and database baseline identifiers, statuses, counts and balances.
3. Use the documented page/API to verify that unauthorized report area and cross-scope data are denied.
4. Refresh or repeat through an independent client where concurrency, polling or idempotency applies.
5. Compare the outcome, scope, audit fields and side effects with the expected result; capture evidence.</t>
        </is>
      </c>
      <c r="N164" s="4" t="inlineStr">
        <is>
          <t>The operation is refused with a stable, safe error; no unauthorized or partial mutation occurs. Specifically: Unauthorized report area and cross-scope data are denied.</t>
        </is>
      </c>
      <c r="O164" s="4" t="inlineStr">
        <is>
          <t>Reverse only synthetic changes through supported UI/API, or restore the approved isolated snapshot; confirm no residual locks, sessions, occupied tables or stock deltas.</t>
        </is>
      </c>
      <c r="P164" s="4" t="inlineStr">
        <is>
          <t>Yes</t>
        </is>
      </c>
      <c r="Q164" s="4" t="inlineStr">
        <is>
          <t>Timestamped screenshots for UI; request/response with secrets redacted for API; query IDs/counts/balances for transactions; export/build artifact or monitoring trace where applicable.</t>
        </is>
      </c>
      <c r="R164" s="4" t="inlineStr">
        <is>
          <t>Planned / Not Yet Executed</t>
        </is>
      </c>
      <c r="S164" s="4" t="inlineStr"/>
      <c r="T164" s="4" t="inlineStr"/>
      <c r="U164" s="4" t="inlineStr"/>
      <c r="V164" s="4" t="inlineStr"/>
      <c r="W164" s="4" t="inlineStr"/>
      <c r="X164" s="4" t="inlineStr"/>
    </row>
    <row r="165" ht="72" customHeight="1">
      <c r="A165" s="4" t="inlineStr">
        <is>
          <t>RPT-010</t>
        </is>
      </c>
      <c r="B165" s="4" t="inlineStr">
        <is>
          <t>Reports &amp; Exports</t>
        </is>
      </c>
      <c r="C165" s="4" t="inlineStr">
        <is>
          <t>FR-D02, FR-D03, FR-P03</t>
        </is>
      </c>
      <c r="D165" s="4" t="inlineStr">
        <is>
          <t>Large filtered report completes within acceptance threshold</t>
        </is>
      </c>
      <c r="E165" s="4" t="inlineStr">
        <is>
          <t>Verify, without assuming a pass result, that the release candidate correctly enforces: Large filtered report completes within acceptance threshold.</t>
        </is>
      </c>
      <c r="F165" s="4" t="inlineStr">
        <is>
          <t>Positive</t>
        </is>
      </c>
      <c r="G165" s="4" t="inlineStr">
        <is>
          <t>Medium</t>
        </is>
      </c>
      <c r="H165" s="4" t="inlineStr">
        <is>
          <t>Medium</t>
        </is>
      </c>
      <c r="I165" s="4" t="inlineStr">
        <is>
          <t>Known source transactions span dates, methods, roles and branches.</t>
        </is>
      </c>
      <c r="J165" s="4" t="inlineStr">
        <is>
          <t>Use only named synthetic records from the Test Data Plan; capture generated IDs and baseline values in evidence. Never use real credentials, customer PII or secrets.</t>
        </is>
      </c>
      <c r="K165" s="4" t="inlineStr">
        <is>
          <t>Admin / Owner / Manager / Cashier</t>
        </is>
      </c>
      <c r="L165" s="4" t="inlineStr">
        <is>
          <t>Restaurant A / Branch A1 unless the case explicitly tests another scope</t>
        </is>
      </c>
      <c r="M165" s="4" t="inlineStr">
        <is>
          <t>1. Sign in as Admin / Owner / Manager / Cashier, or remain anonymous when the case requires it.
2. Record relevant UI, API and database baseline identifiers, statuses, counts and balances.
3. Use the documented page/API to verify that large filtered report completes within acceptance threshold.
4. Refresh or repeat through an independent client where concurrency, polling or idempotency applies.
5. Compare the outcome, scope, audit fields and side effects with the expected result; capture evidence.</t>
        </is>
      </c>
      <c r="N165" s="4" t="inlineStr">
        <is>
          <t>The release candidate demonstrates the specified behavior exactly and only within the actor's authorized scope: Large filtered report completes within acceptance threshold. No unrelated record changes.</t>
        </is>
      </c>
      <c r="O165" s="4" t="inlineStr">
        <is>
          <t>Reverse only synthetic changes through supported UI/API, or restore the approved isolated snapshot; confirm no residual locks, sessions, occupied tables or stock deltas.</t>
        </is>
      </c>
      <c r="P165" s="4" t="inlineStr">
        <is>
          <t>Yes</t>
        </is>
      </c>
      <c r="Q165" s="4" t="inlineStr">
        <is>
          <t>Timestamped screenshots for UI; request/response with secrets redacted for API; query IDs/counts/balances for transactions; export/build artifact or monitoring trace where applicable.</t>
        </is>
      </c>
      <c r="R165" s="4" t="inlineStr">
        <is>
          <t>Planned / Not Yet Executed</t>
        </is>
      </c>
      <c r="S165" s="4" t="inlineStr"/>
      <c r="T165" s="4" t="inlineStr"/>
      <c r="U165" s="4" t="inlineStr"/>
      <c r="V165" s="4" t="inlineStr"/>
      <c r="W165" s="4" t="inlineStr"/>
      <c r="X165" s="4" t="inlineStr"/>
    </row>
    <row r="166" ht="72" customHeight="1">
      <c r="A166" s="4" t="inlineStr">
        <is>
          <t>SUM-001</t>
        </is>
      </c>
      <c r="B166" s="4" t="inlineStr">
        <is>
          <t>Daily Summaries</t>
        </is>
      </c>
      <c r="C166" s="4" t="inlineStr">
        <is>
          <t>FR-P03, NFR-08</t>
        </is>
      </c>
      <c r="D166" s="4" t="inlineStr">
        <is>
          <t>Daily summary revenue counts and method totals reconcile</t>
        </is>
      </c>
      <c r="E166" s="4" t="inlineStr">
        <is>
          <t>Verify, without assuming a pass result, that the release candidate correctly enforces: Daily summary revenue counts and method totals reconcile.</t>
        </is>
      </c>
      <c r="F166" s="4" t="inlineStr">
        <is>
          <t>Integration</t>
        </is>
      </c>
      <c r="G166" s="4" t="inlineStr">
        <is>
          <t>Medium</t>
        </is>
      </c>
      <c r="H166" s="4" t="inlineStr">
        <is>
          <t>Medium</t>
        </is>
      </c>
      <c r="I166" s="4" t="inlineStr">
        <is>
          <t>Known daily transactions and configured business timezone exist.</t>
        </is>
      </c>
      <c r="J166" s="4" t="inlineStr">
        <is>
          <t>Use only named synthetic records from the Test Data Plan; capture generated IDs and baseline values in evidence. Never use real credentials, customer PII or secrets.</t>
        </is>
      </c>
      <c r="K166" s="4" t="inlineStr">
        <is>
          <t>Manager / Cashier</t>
        </is>
      </c>
      <c r="L166" s="4" t="inlineStr">
        <is>
          <t>Restaurant A / Branch A1 unless the case explicitly tests another scope</t>
        </is>
      </c>
      <c r="M166" s="4" t="inlineStr">
        <is>
          <t>1. Sign in as Manager / Cashier, or remain anonymous when the case requires it.
2. Record relevant UI, API and database baseline identifiers, statuses, counts and balances.
3. Use the documented page/API to verify that daily summary revenue counts and method totals reconcile.
4. Refresh or repeat through an independent client where concurrency, polling or idempotency applies.
5. Compare the outcome, scope, audit fields and side effects with the expected result; capture evidence.</t>
        </is>
      </c>
      <c r="N166" s="4" t="inlineStr">
        <is>
          <t>Displayed/exported values exactly equal independently calculated values from authorized source records, with correct scope, date boundary and ETB precision.</t>
        </is>
      </c>
      <c r="O166" s="4" t="inlineStr">
        <is>
          <t>Reverse only synthetic changes through supported UI/API, or restore the approved isolated snapshot; confirm no residual locks, sessions, occupied tables or stock deltas.</t>
        </is>
      </c>
      <c r="P166" s="4" t="inlineStr">
        <is>
          <t>Yes</t>
        </is>
      </c>
      <c r="Q166" s="4" t="inlineStr">
        <is>
          <t>Timestamped screenshots for UI; request/response with secrets redacted for API; query IDs/counts/balances for transactions; export/build artifact or monitoring trace where applicable.</t>
        </is>
      </c>
      <c r="R166" s="4" t="inlineStr">
        <is>
          <t>Planned / Not Yet Executed</t>
        </is>
      </c>
      <c r="S166" s="4" t="inlineStr"/>
      <c r="T166" s="4" t="inlineStr"/>
      <c r="U166" s="4" t="inlineStr"/>
      <c r="V166" s="4" t="inlineStr"/>
      <c r="W166" s="4" t="inlineStr"/>
      <c r="X166" s="4" t="inlineStr"/>
    </row>
    <row r="167" ht="72" customHeight="1">
      <c r="A167" s="4" t="inlineStr">
        <is>
          <t>SUM-002</t>
        </is>
      </c>
      <c r="B167" s="4" t="inlineStr">
        <is>
          <t>Daily Summaries</t>
        </is>
      </c>
      <c r="C167" s="4" t="inlineStr">
        <is>
          <t>FR-P03, NFR-08</t>
        </is>
      </c>
      <c r="D167" s="4" t="inlineStr">
        <is>
          <t>Summary date boundary uses configured business timezone</t>
        </is>
      </c>
      <c r="E167" s="4" t="inlineStr">
        <is>
          <t>Verify, without assuming a pass result, that the release candidate correctly enforces: Summary date boundary uses configured business timezone.</t>
        </is>
      </c>
      <c r="F167" s="4" t="inlineStr">
        <is>
          <t>Boundary</t>
        </is>
      </c>
      <c r="G167" s="4" t="inlineStr">
        <is>
          <t>Medium</t>
        </is>
      </c>
      <c r="H167" s="4" t="inlineStr">
        <is>
          <t>Medium</t>
        </is>
      </c>
      <c r="I167" s="4" t="inlineStr">
        <is>
          <t>Known daily transactions and configured business timezone exist.</t>
        </is>
      </c>
      <c r="J167" s="4" t="inlineStr">
        <is>
          <t>Use only named synthetic records from the Test Data Plan; capture generated IDs and baseline values in evidence. Never use real credentials, customer PII or secrets.</t>
        </is>
      </c>
      <c r="K167" s="4" t="inlineStr">
        <is>
          <t>Manager / Cashier</t>
        </is>
      </c>
      <c r="L167" s="4" t="inlineStr">
        <is>
          <t>Restaurant A / Branch A1 unless the case explicitly tests another scope</t>
        </is>
      </c>
      <c r="M167" s="4" t="inlineStr">
        <is>
          <t>1. Sign in as Manager / Cashier, or remain anonymous when the case requires it.
2. Record relevant UI, API and database baseline identifiers, statuses, counts and balances.
3. Use the documented page/API to verify that summary date boundary uses configured business timezone.
4. Refresh or repeat through an independent client where concurrency, polling or idempotency applies.
5. Compare the outcome, scope, audit fields and side effects with the expected result; capture evidence.</t>
        </is>
      </c>
      <c r="N167" s="4" t="inlineStr">
        <is>
          <t>The release candidate demonstrates the specified behavior exactly and only within the actor's authorized scope: Summary date boundary uses configured business timezone. No unrelated record changes.</t>
        </is>
      </c>
      <c r="O167" s="4" t="inlineStr">
        <is>
          <t>Reverse only synthetic changes through supported UI/API, or restore the approved isolated snapshot; confirm no residual locks, sessions, occupied tables or stock deltas.</t>
        </is>
      </c>
      <c r="P167" s="4" t="inlineStr">
        <is>
          <t>Yes</t>
        </is>
      </c>
      <c r="Q167" s="4" t="inlineStr">
        <is>
          <t>Timestamped screenshots for UI; request/response with secrets redacted for API; query IDs/counts/balances for transactions; export/build artifact or monitoring trace where applicable.</t>
        </is>
      </c>
      <c r="R167" s="4" t="inlineStr">
        <is>
          <t>Planned / Not Yet Executed</t>
        </is>
      </c>
      <c r="S167" s="4" t="inlineStr"/>
      <c r="T167" s="4" t="inlineStr"/>
      <c r="U167" s="4" t="inlineStr"/>
      <c r="V167" s="4" t="inlineStr"/>
      <c r="W167" s="4" t="inlineStr"/>
      <c r="X167" s="4" t="inlineStr"/>
    </row>
    <row r="168" ht="72" customHeight="1">
      <c r="A168" s="4" t="inlineStr">
        <is>
          <t>SUM-003</t>
        </is>
      </c>
      <c r="B168" s="4" t="inlineStr">
        <is>
          <t>Daily Summaries</t>
        </is>
      </c>
      <c r="C168" s="4" t="inlineStr">
        <is>
          <t>FR-P03, NFR-08</t>
        </is>
      </c>
      <c r="D168" s="4" t="inlineStr">
        <is>
          <t>Repeated summary generation is idempotent</t>
        </is>
      </c>
      <c r="E168" s="4" t="inlineStr">
        <is>
          <t>Verify, without assuming a pass result, that the release candidate correctly enforces: Repeated summary generation is idempotent.</t>
        </is>
      </c>
      <c r="F168" s="4" t="inlineStr">
        <is>
          <t>Recovery</t>
        </is>
      </c>
      <c r="G168" s="4" t="inlineStr">
        <is>
          <t>High</t>
        </is>
      </c>
      <c r="H168" s="4" t="inlineStr">
        <is>
          <t>High</t>
        </is>
      </c>
      <c r="I168" s="4" t="inlineStr">
        <is>
          <t>Known daily transactions and configured business timezone exist.</t>
        </is>
      </c>
      <c r="J168" s="4" t="inlineStr">
        <is>
          <t>Use only named synthetic records from the Test Data Plan; capture generated IDs and baseline values in evidence. Never use real credentials, customer PII or secrets.</t>
        </is>
      </c>
      <c r="K168" s="4" t="inlineStr">
        <is>
          <t>Manager / Cashier</t>
        </is>
      </c>
      <c r="L168" s="4" t="inlineStr">
        <is>
          <t>Restaurant A / Branch A1 unless the case explicitly tests another scope</t>
        </is>
      </c>
      <c r="M168" s="4" t="inlineStr">
        <is>
          <t>1. Sign in as Manager / Cashier, or remain anonymous when the case requires it.
2. Record relevant UI, API and database baseline identifiers, statuses, counts and balances.
3. Use the documented page/API to verify that repeated summary generation is idempotent.
4. Refresh or repeat through an independent client where concurrency, polling or idempotency applies.
5. Compare the outcome, scope, audit fields and side effects with the expected result; capture evidence.</t>
        </is>
      </c>
      <c r="N168" s="4" t="inlineStr">
        <is>
          <t>The release candidate demonstrates the specified behavior exactly and only within the actor's authorized scope: Repeated summary generation is idempotent. No unrelated record changes.</t>
        </is>
      </c>
      <c r="O168" s="4" t="inlineStr">
        <is>
          <t>Reverse only synthetic changes through supported UI/API, or restore the approved isolated snapshot; confirm no residual locks, sessions, occupied tables or stock deltas.</t>
        </is>
      </c>
      <c r="P168" s="4" t="inlineStr">
        <is>
          <t>Yes</t>
        </is>
      </c>
      <c r="Q168" s="4" t="inlineStr">
        <is>
          <t>Timestamped screenshots for UI; request/response with secrets redacted for API; query IDs/counts/balances for transactions; export/build artifact or monitoring trace where applicable.</t>
        </is>
      </c>
      <c r="R168" s="4" t="inlineStr">
        <is>
          <t>Planned / Not Yet Executed</t>
        </is>
      </c>
      <c r="S168" s="4" t="inlineStr"/>
      <c r="T168" s="4" t="inlineStr"/>
      <c r="U168" s="4" t="inlineStr"/>
      <c r="V168" s="4" t="inlineStr"/>
      <c r="W168" s="4" t="inlineStr"/>
      <c r="X168" s="4" t="inlineStr"/>
    </row>
    <row r="169" ht="72" customHeight="1">
      <c r="A169" s="4" t="inlineStr">
        <is>
          <t>SUM-004</t>
        </is>
      </c>
      <c r="B169" s="4" t="inlineStr">
        <is>
          <t>Daily Summaries</t>
        </is>
      </c>
      <c r="C169" s="4" t="inlineStr">
        <is>
          <t>FR-P03, NFR-08</t>
        </is>
      </c>
      <c r="D169" s="4" t="inlineStr">
        <is>
          <t>Locked historical summary cannot be silently altered</t>
        </is>
      </c>
      <c r="E169" s="4" t="inlineStr">
        <is>
          <t>Verify, without assuming a pass result, that the release candidate correctly enforces: Locked historical summary cannot be silently altered.</t>
        </is>
      </c>
      <c r="F169" s="4" t="inlineStr">
        <is>
          <t>Negative</t>
        </is>
      </c>
      <c r="G169" s="4" t="inlineStr">
        <is>
          <t>Medium</t>
        </is>
      </c>
      <c r="H169" s="4" t="inlineStr">
        <is>
          <t>Medium</t>
        </is>
      </c>
      <c r="I169" s="4" t="inlineStr">
        <is>
          <t>Known daily transactions and configured business timezone exist.</t>
        </is>
      </c>
      <c r="J169" s="4" t="inlineStr">
        <is>
          <t>Use only named synthetic records from the Test Data Plan; capture generated IDs and baseline values in evidence. Never use real credentials, customer PII or secrets.</t>
        </is>
      </c>
      <c r="K169" s="4" t="inlineStr">
        <is>
          <t>Manager / Cashier</t>
        </is>
      </c>
      <c r="L169" s="4" t="inlineStr">
        <is>
          <t>Restaurant A / Branch A1 unless the case explicitly tests another scope</t>
        </is>
      </c>
      <c r="M169" s="4" t="inlineStr">
        <is>
          <t>1. Sign in as Manager / Cashier, or remain anonymous when the case requires it.
2. Record relevant UI, API and database baseline identifiers, statuses, counts and balances.
3. Use the documented page/API to verify that locked historical summary cannot be silently altered.
4. Refresh or repeat through an independent client where concurrency, polling or idempotency applies.
5. Compare the outcome, scope, audit fields and side effects with the expected result; capture evidence.</t>
        </is>
      </c>
      <c r="N169" s="4" t="inlineStr">
        <is>
          <t>The operation is refused with a stable, safe error; no unauthorized or partial mutation occurs. Specifically: Locked historical summary cannot be silently altered.</t>
        </is>
      </c>
      <c r="O169" s="4" t="inlineStr">
        <is>
          <t>Reverse only synthetic changes through supported UI/API, or restore the approved isolated snapshot; confirm no residual locks, sessions, occupied tables or stock deltas.</t>
        </is>
      </c>
      <c r="P169" s="4" t="inlineStr">
        <is>
          <t>Yes</t>
        </is>
      </c>
      <c r="Q169" s="4" t="inlineStr">
        <is>
          <t>Timestamped screenshots for UI; request/response with secrets redacted for API; query IDs/counts/balances for transactions; export/build artifact or monitoring trace where applicable.</t>
        </is>
      </c>
      <c r="R169" s="4" t="inlineStr">
        <is>
          <t>Planned / Not Yet Executed</t>
        </is>
      </c>
      <c r="S169" s="4" t="inlineStr"/>
      <c r="T169" s="4" t="inlineStr"/>
      <c r="U169" s="4" t="inlineStr"/>
      <c r="V169" s="4" t="inlineStr"/>
      <c r="W169" s="4" t="inlineStr"/>
      <c r="X169" s="4" t="inlineStr"/>
    </row>
    <row r="170" ht="72" customHeight="1">
      <c r="A170" s="4" t="inlineStr">
        <is>
          <t>RESP-001</t>
        </is>
      </c>
      <c r="B170" s="4" t="inlineStr">
        <is>
          <t>Responsive Layout</t>
        </is>
      </c>
      <c r="C170" s="4" t="inlineStr">
        <is>
          <t>FR-O08, NFR-04</t>
        </is>
      </c>
      <c r="D170" s="4" t="inlineStr">
        <is>
          <t>POS remains usable at 320 pixel viewport</t>
        </is>
      </c>
      <c r="E170" s="4" t="inlineStr">
        <is>
          <t>Verify, without assuming a pass result, that the release candidate correctly enforces: POS remains usable at 320 pixel viewport.</t>
        </is>
      </c>
      <c r="F170" s="4" t="inlineStr">
        <is>
          <t>Boundary</t>
        </is>
      </c>
      <c r="G170" s="4" t="inlineStr">
        <is>
          <t>Medium</t>
        </is>
      </c>
      <c r="H170" s="4" t="inlineStr">
        <is>
          <t>Medium</t>
        </is>
      </c>
      <c r="I170" s="4" t="inlineStr">
        <is>
          <t>Supported browser devtools or physical devices are available with preserved synthetic draft data.</t>
        </is>
      </c>
      <c r="J170" s="4" t="inlineStr">
        <is>
          <t>Use only named synthetic records from the Test Data Plan; capture generated IDs and baseline values in evidence. Never use real credentials, customer PII or secrets.</t>
        </is>
      </c>
      <c r="K170" s="4" t="inlineStr">
        <is>
          <t>Waiter / representative role</t>
        </is>
      </c>
      <c r="L170" s="4" t="inlineStr">
        <is>
          <t>Restaurant A / Branch A1 unless the case explicitly tests another scope</t>
        </is>
      </c>
      <c r="M170" s="4" t="inlineStr">
        <is>
          <t>1. Sign in as Waiter / representative role, or remain anonymous when the case requires it.
2. Record relevant UI, API and database baseline identifiers, statuses, counts and balances.
3. Use the documented page/API to verify that pOS remains usable at 320 pixel viewport.
4. Refresh or repeat through an independent client where concurrency, polling or idempotency applies.
5. Compare the outcome, scope, audit fields and side effects with the expected result; capture evidence.</t>
        </is>
      </c>
      <c r="N170" s="4" t="inlineStr">
        <is>
          <t>The release candidate demonstrates the specified behavior exactly and only within the actor's authorized scope: POS remains usable at 320 pixel viewport. No unrelated record changes.</t>
        </is>
      </c>
      <c r="O170" s="4" t="inlineStr">
        <is>
          <t>Reverse only synthetic changes through supported UI/API, or restore the approved isolated snapshot; confirm no residual locks, sessions, occupied tables or stock deltas.</t>
        </is>
      </c>
      <c r="P170" s="4" t="inlineStr">
        <is>
          <t>Yes</t>
        </is>
      </c>
      <c r="Q170" s="4" t="inlineStr">
        <is>
          <t>Timestamped screenshots for UI; request/response with secrets redacted for API; query IDs/counts/balances for transactions; export/build artifact or monitoring trace where applicable.</t>
        </is>
      </c>
      <c r="R170" s="4" t="inlineStr">
        <is>
          <t>Planned / Not Yet Executed</t>
        </is>
      </c>
      <c r="S170" s="4" t="inlineStr"/>
      <c r="T170" s="4" t="inlineStr"/>
      <c r="U170" s="4" t="inlineStr"/>
      <c r="V170" s="4" t="inlineStr"/>
      <c r="W170" s="4" t="inlineStr"/>
      <c r="X170" s="4" t="inlineStr"/>
    </row>
    <row r="171" ht="72" customHeight="1">
      <c r="A171" s="4" t="inlineStr">
        <is>
          <t>RESP-002</t>
        </is>
      </c>
      <c r="B171" s="4" t="inlineStr">
        <is>
          <t>Responsive Layout</t>
        </is>
      </c>
      <c r="C171" s="4" t="inlineStr">
        <is>
          <t>FR-O08, NFR-04</t>
        </is>
      </c>
      <c r="D171" s="4" t="inlineStr">
        <is>
          <t>POS remains usable at 390 pixel viewport</t>
        </is>
      </c>
      <c r="E171" s="4" t="inlineStr">
        <is>
          <t>Verify, without assuming a pass result, that the release candidate correctly enforces: POS remains usable at 390 pixel viewport.</t>
        </is>
      </c>
      <c r="F171" s="4" t="inlineStr">
        <is>
          <t>Boundary</t>
        </is>
      </c>
      <c r="G171" s="4" t="inlineStr">
        <is>
          <t>Medium</t>
        </is>
      </c>
      <c r="H171" s="4" t="inlineStr">
        <is>
          <t>Medium</t>
        </is>
      </c>
      <c r="I171" s="4" t="inlineStr">
        <is>
          <t>Supported browser devtools or physical devices are available with preserved synthetic draft data.</t>
        </is>
      </c>
      <c r="J171" s="4" t="inlineStr">
        <is>
          <t>Use only named synthetic records from the Test Data Plan; capture generated IDs and baseline values in evidence. Never use real credentials, customer PII or secrets.</t>
        </is>
      </c>
      <c r="K171" s="4" t="inlineStr">
        <is>
          <t>Waiter / representative role</t>
        </is>
      </c>
      <c r="L171" s="4" t="inlineStr">
        <is>
          <t>Restaurant A / Branch A1 unless the case explicitly tests another scope</t>
        </is>
      </c>
      <c r="M171" s="4" t="inlineStr">
        <is>
          <t>1. Sign in as Waiter / representative role, or remain anonymous when the case requires it.
2. Record relevant UI, API and database baseline identifiers, statuses, counts and balances.
3. Use the documented page/API to verify that pOS remains usable at 390 pixel viewport.
4. Refresh or repeat through an independent client where concurrency, polling or idempotency applies.
5. Compare the outcome, scope, audit fields and side effects with the expected result; capture evidence.</t>
        </is>
      </c>
      <c r="N171" s="4" t="inlineStr">
        <is>
          <t>The release candidate demonstrates the specified behavior exactly and only within the actor's authorized scope: POS remains usable at 390 pixel viewport. No unrelated record changes.</t>
        </is>
      </c>
      <c r="O171" s="4" t="inlineStr">
        <is>
          <t>Reverse only synthetic changes through supported UI/API, or restore the approved isolated snapshot; confirm no residual locks, sessions, occupied tables or stock deltas.</t>
        </is>
      </c>
      <c r="P171" s="4" t="inlineStr">
        <is>
          <t>Yes</t>
        </is>
      </c>
      <c r="Q171" s="4" t="inlineStr">
        <is>
          <t>Timestamped screenshots for UI; request/response with secrets redacted for API; query IDs/counts/balances for transactions; export/build artifact or monitoring trace where applicable.</t>
        </is>
      </c>
      <c r="R171" s="4" t="inlineStr">
        <is>
          <t>Planned / Not Yet Executed</t>
        </is>
      </c>
      <c r="S171" s="4" t="inlineStr"/>
      <c r="T171" s="4" t="inlineStr"/>
      <c r="U171" s="4" t="inlineStr"/>
      <c r="V171" s="4" t="inlineStr"/>
      <c r="W171" s="4" t="inlineStr"/>
      <c r="X171" s="4" t="inlineStr"/>
    </row>
    <row r="172" ht="72" customHeight="1">
      <c r="A172" s="4" t="inlineStr">
        <is>
          <t>RESP-003</t>
        </is>
      </c>
      <c r="B172" s="4" t="inlineStr">
        <is>
          <t>Responsive Layout</t>
        </is>
      </c>
      <c r="C172" s="4" t="inlineStr">
        <is>
          <t>FR-O08, NFR-04</t>
        </is>
      </c>
      <c r="D172" s="4" t="inlineStr">
        <is>
          <t>Core workflows remain usable at tablet viewport</t>
        </is>
      </c>
      <c r="E172" s="4" t="inlineStr">
        <is>
          <t>Verify, without assuming a pass result, that the release candidate correctly enforces: Core workflows remain usable at tablet viewport.</t>
        </is>
      </c>
      <c r="F172" s="4" t="inlineStr">
        <is>
          <t>Integration</t>
        </is>
      </c>
      <c r="G172" s="4" t="inlineStr">
        <is>
          <t>Medium</t>
        </is>
      </c>
      <c r="H172" s="4" t="inlineStr">
        <is>
          <t>Medium</t>
        </is>
      </c>
      <c r="I172" s="4" t="inlineStr">
        <is>
          <t>Supported browser devtools or physical devices are available with preserved synthetic draft data.</t>
        </is>
      </c>
      <c r="J172" s="4" t="inlineStr">
        <is>
          <t>Use only named synthetic records from the Test Data Plan; capture generated IDs and baseline values in evidence. Never use real credentials, customer PII or secrets.</t>
        </is>
      </c>
      <c r="K172" s="4" t="inlineStr">
        <is>
          <t>Waiter / representative role</t>
        </is>
      </c>
      <c r="L172" s="4" t="inlineStr">
        <is>
          <t>Restaurant A / Branch A1 unless the case explicitly tests another scope</t>
        </is>
      </c>
      <c r="M172" s="4" t="inlineStr">
        <is>
          <t>1. Sign in as Waiter / representative role, or remain anonymous when the case requires it.
2. Record relevant UI, API and database baseline identifiers, statuses, counts and balances.
3. Use the documented page/API to verify that core workflows remain usable at tablet viewport.
4. Refresh or repeat through an independent client where concurrency, polling or idempotency applies.
5. Compare the outcome, scope, audit fields and side effects with the expected result; capture evidence.</t>
        </is>
      </c>
      <c r="N172" s="4" t="inlineStr">
        <is>
          <t>The release candidate demonstrates the specified behavior exactly and only within the actor's authorized scope: Core workflows remain usable at tablet viewport. No unrelated record changes.</t>
        </is>
      </c>
      <c r="O172" s="4" t="inlineStr">
        <is>
          <t>Reverse only synthetic changes through supported UI/API, or restore the approved isolated snapshot; confirm no residual locks, sessions, occupied tables or stock deltas.</t>
        </is>
      </c>
      <c r="P172" s="4" t="inlineStr">
        <is>
          <t>Yes</t>
        </is>
      </c>
      <c r="Q172" s="4" t="inlineStr">
        <is>
          <t>Timestamped screenshots for UI; request/response with secrets redacted for API; query IDs/counts/balances for transactions; export/build artifact or monitoring trace where applicable.</t>
        </is>
      </c>
      <c r="R172" s="4" t="inlineStr">
        <is>
          <t>Planned / Not Yet Executed</t>
        </is>
      </c>
      <c r="S172" s="4" t="inlineStr"/>
      <c r="T172" s="4" t="inlineStr"/>
      <c r="U172" s="4" t="inlineStr"/>
      <c r="V172" s="4" t="inlineStr"/>
      <c r="W172" s="4" t="inlineStr"/>
      <c r="X172" s="4" t="inlineStr"/>
    </row>
    <row r="173" ht="72" customHeight="1">
      <c r="A173" s="4" t="inlineStr">
        <is>
          <t>RESP-004</t>
        </is>
      </c>
      <c r="B173" s="4" t="inlineStr">
        <is>
          <t>Responsive Layout</t>
        </is>
      </c>
      <c r="C173" s="4" t="inlineStr">
        <is>
          <t>FR-O08, NFR-04</t>
        </is>
      </c>
      <c r="D173" s="4" t="inlineStr">
        <is>
          <t>Core workflows remain usable at desktop viewport</t>
        </is>
      </c>
      <c r="E173" s="4" t="inlineStr">
        <is>
          <t>Verify, without assuming a pass result, that the release candidate correctly enforces: Core workflows remain usable at desktop viewport.</t>
        </is>
      </c>
      <c r="F173" s="4" t="inlineStr">
        <is>
          <t>Integration</t>
        </is>
      </c>
      <c r="G173" s="4" t="inlineStr">
        <is>
          <t>Medium</t>
        </is>
      </c>
      <c r="H173" s="4" t="inlineStr">
        <is>
          <t>Medium</t>
        </is>
      </c>
      <c r="I173" s="4" t="inlineStr">
        <is>
          <t>Supported browser devtools or physical devices are available with preserved synthetic draft data.</t>
        </is>
      </c>
      <c r="J173" s="4" t="inlineStr">
        <is>
          <t>Use only named synthetic records from the Test Data Plan; capture generated IDs and baseline values in evidence. Never use real credentials, customer PII or secrets.</t>
        </is>
      </c>
      <c r="K173" s="4" t="inlineStr">
        <is>
          <t>Waiter / representative role</t>
        </is>
      </c>
      <c r="L173" s="4" t="inlineStr">
        <is>
          <t>Restaurant A / Branch A1 unless the case explicitly tests another scope</t>
        </is>
      </c>
      <c r="M173" s="4" t="inlineStr">
        <is>
          <t>1. Sign in as Waiter / representative role, or remain anonymous when the case requires it.
2. Record relevant UI, API and database baseline identifiers, statuses, counts and balances.
3. Use the documented page/API to verify that core workflows remain usable at desktop viewport.
4. Refresh or repeat through an independent client where concurrency, polling or idempotency applies.
5. Compare the outcome, scope, audit fields and side effects with the expected result; capture evidence.</t>
        </is>
      </c>
      <c r="N173" s="4" t="inlineStr">
        <is>
          <t>The release candidate demonstrates the specified behavior exactly and only within the actor's authorized scope: Core workflows remain usable at desktop viewport. No unrelated record changes.</t>
        </is>
      </c>
      <c r="O173" s="4" t="inlineStr">
        <is>
          <t>Reverse only synthetic changes through supported UI/API, or restore the approved isolated snapshot; confirm no residual locks, sessions, occupied tables or stock deltas.</t>
        </is>
      </c>
      <c r="P173" s="4" t="inlineStr">
        <is>
          <t>Yes</t>
        </is>
      </c>
      <c r="Q173" s="4" t="inlineStr">
        <is>
          <t>Timestamped screenshots for UI; request/response with secrets redacted for API; query IDs/counts/balances for transactions; export/build artifact or monitoring trace where applicable.</t>
        </is>
      </c>
      <c r="R173" s="4" t="inlineStr">
        <is>
          <t>Planned / Not Yet Executed</t>
        </is>
      </c>
      <c r="S173" s="4" t="inlineStr"/>
      <c r="T173" s="4" t="inlineStr"/>
      <c r="U173" s="4" t="inlineStr"/>
      <c r="V173" s="4" t="inlineStr"/>
      <c r="W173" s="4" t="inlineStr"/>
      <c r="X173" s="4" t="inlineStr"/>
    </row>
    <row r="174" ht="72" customHeight="1">
      <c r="A174" s="4" t="inlineStr">
        <is>
          <t>RESP-005</t>
        </is>
      </c>
      <c r="B174" s="4" t="inlineStr">
        <is>
          <t>Responsive Layout</t>
        </is>
      </c>
      <c r="C174" s="4" t="inlineStr">
        <is>
          <t>FR-O08, NFR-04</t>
        </is>
      </c>
      <c r="D174" s="4" t="inlineStr">
        <is>
          <t>Category tabs use intentional horizontal scrolling only</t>
        </is>
      </c>
      <c r="E174" s="4" t="inlineStr">
        <is>
          <t>Verify, without assuming a pass result, that the release candidate correctly enforces: Category tabs use intentional horizontal scrolling only.</t>
        </is>
      </c>
      <c r="F174" s="4" t="inlineStr">
        <is>
          <t>Authorization</t>
        </is>
      </c>
      <c r="G174" s="4" t="inlineStr">
        <is>
          <t>High</t>
        </is>
      </c>
      <c r="H174" s="4" t="inlineStr">
        <is>
          <t>High</t>
        </is>
      </c>
      <c r="I174" s="4" t="inlineStr">
        <is>
          <t>Supported browser devtools or physical devices are available with preserved synthetic draft data.</t>
        </is>
      </c>
      <c r="J174" s="4" t="inlineStr">
        <is>
          <t>Use only named synthetic records from the Test Data Plan; capture generated IDs and baseline values in evidence. Never use real credentials, customer PII or secrets.</t>
        </is>
      </c>
      <c r="K174" s="4" t="inlineStr">
        <is>
          <t>Waiter / representative role</t>
        </is>
      </c>
      <c r="L174" s="4" t="inlineStr">
        <is>
          <t>Restaurant A / Branch A1 unless the case explicitly tests another scope</t>
        </is>
      </c>
      <c r="M174" s="4" t="inlineStr">
        <is>
          <t>1. Sign in as Waiter / representative role, or remain anonymous when the case requires it.
2. Record relevant UI, API and database baseline identifiers, statuses, counts and balances.
3. Use the documented page/API to verify that category tabs use intentional horizontal scrolling only.
4. Refresh or repeat through an independent client where concurrency, polling or idempotency applies.
5. Compare the outcome, scope, audit fields and side effects with the expected result; capture evidence.</t>
        </is>
      </c>
      <c r="N174" s="4" t="inlineStr">
        <is>
          <t>The release candidate demonstrates the specified behavior exactly and only within the actor's authorized scope: Category tabs use intentional horizontal scrolling only. No unrelated record changes.</t>
        </is>
      </c>
      <c r="O174" s="4" t="inlineStr">
        <is>
          <t>Reverse only synthetic changes through supported UI/API, or restore the approved isolated snapshot; confirm no residual locks, sessions, occupied tables or stock deltas.</t>
        </is>
      </c>
      <c r="P174" s="4" t="inlineStr">
        <is>
          <t>Yes</t>
        </is>
      </c>
      <c r="Q174" s="4" t="inlineStr">
        <is>
          <t>Timestamped screenshots for UI; request/response with secrets redacted for API; query IDs/counts/balances for transactions; export/build artifact or monitoring trace where applicable.</t>
        </is>
      </c>
      <c r="R174" s="4" t="inlineStr">
        <is>
          <t>Planned / Not Yet Executed</t>
        </is>
      </c>
      <c r="S174" s="4" t="inlineStr"/>
      <c r="T174" s="4" t="inlineStr"/>
      <c r="U174" s="4" t="inlineStr"/>
      <c r="V174" s="4" t="inlineStr"/>
      <c r="W174" s="4" t="inlineStr"/>
      <c r="X174" s="4" t="inlineStr"/>
    </row>
    <row r="175" ht="72" customHeight="1">
      <c r="A175" s="4" t="inlineStr">
        <is>
          <t>RESP-006</t>
        </is>
      </c>
      <c r="B175" s="4" t="inlineStr">
        <is>
          <t>Responsive Layout</t>
        </is>
      </c>
      <c r="C175" s="4" t="inlineStr">
        <is>
          <t>FR-O08, NFR-04</t>
        </is>
      </c>
      <c r="D175" s="4" t="inlineStr">
        <is>
          <t>Menu and cart have reachable independent vertical scrolling</t>
        </is>
      </c>
      <c r="E175" s="4" t="inlineStr">
        <is>
          <t>Verify, without assuming a pass result, that the release candidate correctly enforces: Menu and cart have reachable independent vertical scrolling.</t>
        </is>
      </c>
      <c r="F175" s="4" t="inlineStr">
        <is>
          <t>Positive</t>
        </is>
      </c>
      <c r="G175" s="4" t="inlineStr">
        <is>
          <t>Medium</t>
        </is>
      </c>
      <c r="H175" s="4" t="inlineStr">
        <is>
          <t>Medium</t>
        </is>
      </c>
      <c r="I175" s="4" t="inlineStr">
        <is>
          <t>Supported browser devtools or physical devices are available with preserved synthetic draft data.</t>
        </is>
      </c>
      <c r="J175" s="4" t="inlineStr">
        <is>
          <t>Use only named synthetic records from the Test Data Plan; capture generated IDs and baseline values in evidence. Never use real credentials, customer PII or secrets.</t>
        </is>
      </c>
      <c r="K175" s="4" t="inlineStr">
        <is>
          <t>Waiter / representative role</t>
        </is>
      </c>
      <c r="L175" s="4" t="inlineStr">
        <is>
          <t>Restaurant A / Branch A1 unless the case explicitly tests another scope</t>
        </is>
      </c>
      <c r="M175" s="4" t="inlineStr">
        <is>
          <t>1. Sign in as Waiter / representative role, or remain anonymous when the case requires it.
2. Record relevant UI, API and database baseline identifiers, statuses, counts and balances.
3. Use the documented page/API to verify that menu and cart have reachable independent vertical scrolling.
4. Refresh or repeat through an independent client where concurrency, polling or idempotency applies.
5. Compare the outcome, scope, audit fields and side effects with the expected result; capture evidence.</t>
        </is>
      </c>
      <c r="N175" s="4" t="inlineStr">
        <is>
          <t>The release candidate demonstrates the specified behavior exactly and only within the actor's authorized scope: Menu and cart have reachable independent vertical scrolling. No unrelated record changes.</t>
        </is>
      </c>
      <c r="O175" s="4" t="inlineStr">
        <is>
          <t>Reverse only synthetic changes through supported UI/API, or restore the approved isolated snapshot; confirm no residual locks, sessions, occupied tables or stock deltas.</t>
        </is>
      </c>
      <c r="P175" s="4" t="inlineStr">
        <is>
          <t>Yes</t>
        </is>
      </c>
      <c r="Q175" s="4" t="inlineStr">
        <is>
          <t>Timestamped screenshots for UI; request/response with secrets redacted for API; query IDs/counts/balances for transactions; export/build artifact or monitoring trace where applicable.</t>
        </is>
      </c>
      <c r="R175" s="4" t="inlineStr">
        <is>
          <t>Planned / Not Yet Executed</t>
        </is>
      </c>
      <c r="S175" s="4" t="inlineStr"/>
      <c r="T175" s="4" t="inlineStr"/>
      <c r="U175" s="4" t="inlineStr"/>
      <c r="V175" s="4" t="inlineStr"/>
      <c r="W175" s="4" t="inlineStr"/>
      <c r="X175" s="4" t="inlineStr"/>
    </row>
    <row r="176" ht="72" customHeight="1">
      <c r="A176" s="4" t="inlineStr">
        <is>
          <t>RESP-007</t>
        </is>
      </c>
      <c r="B176" s="4" t="inlineStr">
        <is>
          <t>Responsive Layout</t>
        </is>
      </c>
      <c r="C176" s="4" t="inlineStr">
        <is>
          <t>FR-O08, NFR-04</t>
        </is>
      </c>
      <c r="D176" s="4" t="inlineStr">
        <is>
          <t>Long item names notes and validation messages do not overlap controls</t>
        </is>
      </c>
      <c r="E176" s="4" t="inlineStr">
        <is>
          <t>Verify, without assuming a pass result, that the release candidate correctly enforces: Long item names notes and validation messages do not overlap controls.</t>
        </is>
      </c>
      <c r="F176" s="4" t="inlineStr">
        <is>
          <t>Positive</t>
        </is>
      </c>
      <c r="G176" s="4" t="inlineStr">
        <is>
          <t>Medium</t>
        </is>
      </c>
      <c r="H176" s="4" t="inlineStr">
        <is>
          <t>Medium</t>
        </is>
      </c>
      <c r="I176" s="4" t="inlineStr">
        <is>
          <t>Supported browser devtools or physical devices are available with preserved synthetic draft data.</t>
        </is>
      </c>
      <c r="J176" s="4" t="inlineStr">
        <is>
          <t>Use only named synthetic records from the Test Data Plan; capture generated IDs and baseline values in evidence. Never use real credentials, customer PII or secrets.</t>
        </is>
      </c>
      <c r="K176" s="4" t="inlineStr">
        <is>
          <t>Waiter / representative role</t>
        </is>
      </c>
      <c r="L176" s="4" t="inlineStr">
        <is>
          <t>Restaurant A / Branch A1 unless the case explicitly tests another scope</t>
        </is>
      </c>
      <c r="M176" s="4" t="inlineStr">
        <is>
          <t>1. Sign in as Waiter / representative role, or remain anonymous when the case requires it.
2. Record relevant UI, API and database baseline identifiers, statuses, counts and balances.
3. Use the documented page/API to verify that long item names notes and validation messages do not overlap controls.
4. Refresh or repeat through an independent client where concurrency, polling or idempotency applies.
5. Compare the outcome, scope, audit fields and side effects with the expected result; capture evidence.</t>
        </is>
      </c>
      <c r="N176" s="4" t="inlineStr">
        <is>
          <t>The release candidate demonstrates the specified behavior exactly and only within the actor's authorized scope: Long item names notes and validation messages do not overlap controls. No unrelated record changes.</t>
        </is>
      </c>
      <c r="O176" s="4" t="inlineStr">
        <is>
          <t>Reverse only synthetic changes through supported UI/API, or restore the approved isolated snapshot; confirm no residual locks, sessions, occupied tables or stock deltas.</t>
        </is>
      </c>
      <c r="P176" s="4" t="inlineStr">
        <is>
          <t>Yes</t>
        </is>
      </c>
      <c r="Q176" s="4" t="inlineStr">
        <is>
          <t>Timestamped screenshots for UI; request/response with secrets redacted for API; query IDs/counts/balances for transactions; export/build artifact or monitoring trace where applicable.</t>
        </is>
      </c>
      <c r="R176" s="4" t="inlineStr">
        <is>
          <t>Planned / Not Yet Executed</t>
        </is>
      </c>
      <c r="S176" s="4" t="inlineStr"/>
      <c r="T176" s="4" t="inlineStr"/>
      <c r="U176" s="4" t="inlineStr"/>
      <c r="V176" s="4" t="inlineStr"/>
      <c r="W176" s="4" t="inlineStr"/>
      <c r="X176" s="4" t="inlineStr"/>
    </row>
    <row r="177" ht="72" customHeight="1">
      <c r="A177" s="4" t="inlineStr">
        <is>
          <t>RESP-008</t>
        </is>
      </c>
      <c r="B177" s="4" t="inlineStr">
        <is>
          <t>Responsive Layout</t>
        </is>
      </c>
      <c r="C177" s="4" t="inlineStr">
        <is>
          <t>FR-O08, NFR-04</t>
        </is>
      </c>
      <c r="D177" s="4" t="inlineStr">
        <is>
          <t>Rotation resize and browser zoom preserve current work</t>
        </is>
      </c>
      <c r="E177" s="4" t="inlineStr">
        <is>
          <t>Verify, without assuming a pass result, that the release candidate correctly enforces: Rotation resize and browser zoom preserve current work.</t>
        </is>
      </c>
      <c r="F177" s="4" t="inlineStr">
        <is>
          <t>Positive</t>
        </is>
      </c>
      <c r="G177" s="4" t="inlineStr">
        <is>
          <t>Medium</t>
        </is>
      </c>
      <c r="H177" s="4" t="inlineStr">
        <is>
          <t>Medium</t>
        </is>
      </c>
      <c r="I177" s="4" t="inlineStr">
        <is>
          <t>Supported browser devtools or physical devices are available with preserved synthetic draft data.</t>
        </is>
      </c>
      <c r="J177" s="4" t="inlineStr">
        <is>
          <t>Use only named synthetic records from the Test Data Plan; capture generated IDs and baseline values in evidence. Never use real credentials, customer PII or secrets.</t>
        </is>
      </c>
      <c r="K177" s="4" t="inlineStr">
        <is>
          <t>Waiter / representative role</t>
        </is>
      </c>
      <c r="L177" s="4" t="inlineStr">
        <is>
          <t>Restaurant A / Branch A1 unless the case explicitly tests another scope</t>
        </is>
      </c>
      <c r="M177" s="4" t="inlineStr">
        <is>
          <t>1. Sign in as Waiter / representative role, or remain anonymous when the case requires it.
2. Record relevant UI, API and database baseline identifiers, statuses, counts and balances.
3. Use the documented page/API to verify that rotation resize and browser zoom preserve current work.
4. Refresh or repeat through an independent client where concurrency, polling or idempotency applies.
5. Compare the outcome, scope, audit fields and side effects with the expected result; capture evidence.</t>
        </is>
      </c>
      <c r="N177" s="4" t="inlineStr">
        <is>
          <t>The release candidate demonstrates the specified behavior exactly and only within the actor's authorized scope: Rotation resize and browser zoom preserve current work. No unrelated record changes.</t>
        </is>
      </c>
      <c r="O177" s="4" t="inlineStr">
        <is>
          <t>Reverse only synthetic changes through supported UI/API, or restore the approved isolated snapshot; confirm no residual locks, sessions, occupied tables or stock deltas.</t>
        </is>
      </c>
      <c r="P177" s="4" t="inlineStr">
        <is>
          <t>Yes</t>
        </is>
      </c>
      <c r="Q177" s="4" t="inlineStr">
        <is>
          <t>Timestamped screenshots for UI; request/response with secrets redacted for API; query IDs/counts/balances for transactions; export/build artifact or monitoring trace where applicable.</t>
        </is>
      </c>
      <c r="R177" s="4" t="inlineStr">
        <is>
          <t>Planned / Not Yet Executed</t>
        </is>
      </c>
      <c r="S177" s="4" t="inlineStr"/>
      <c r="T177" s="4" t="inlineStr"/>
      <c r="U177" s="4" t="inlineStr"/>
      <c r="V177" s="4" t="inlineStr"/>
      <c r="W177" s="4" t="inlineStr"/>
      <c r="X177" s="4" t="inlineStr"/>
    </row>
    <row r="178" ht="72" customHeight="1">
      <c r="A178" s="4" t="inlineStr">
        <is>
          <t>A11Y-001</t>
        </is>
      </c>
      <c r="B178" s="4" t="inlineStr">
        <is>
          <t>Accessibility</t>
        </is>
      </c>
      <c r="C178" s="4" t="inlineStr">
        <is>
          <t>NFR-04</t>
        </is>
      </c>
      <c r="D178" s="4" t="inlineStr">
        <is>
          <t>Keyboard-only user completes login and primary workflow</t>
        </is>
      </c>
      <c r="E178" s="4" t="inlineStr">
        <is>
          <t>Verify, without assuming a pass result, that the release candidate correctly enforces: Keyboard-only user completes login and primary workflow.</t>
        </is>
      </c>
      <c r="F178" s="4" t="inlineStr">
        <is>
          <t>Authorization</t>
        </is>
      </c>
      <c r="G178" s="4" t="inlineStr">
        <is>
          <t>High</t>
        </is>
      </c>
      <c r="H178" s="4" t="inlineStr">
        <is>
          <t>High</t>
        </is>
      </c>
      <c r="I178" s="4" t="inlineStr">
        <is>
          <t>Supported browser, keyboard and accessibility inspection tools are available.</t>
        </is>
      </c>
      <c r="J178" s="4" t="inlineStr">
        <is>
          <t>Use only named synthetic records from the Test Data Plan; capture generated IDs and baseline values in evidence. Never use real credentials, customer PII or secrets.</t>
        </is>
      </c>
      <c r="K178" s="4" t="inlineStr">
        <is>
          <t>Keyboard / assistive technology user</t>
        </is>
      </c>
      <c r="L178" s="4" t="inlineStr">
        <is>
          <t>Restaurant A / Branch A1 unless the case explicitly tests another scope</t>
        </is>
      </c>
      <c r="M178" s="4" t="inlineStr">
        <is>
          <t>1. Sign in as Keyboard / assistive technology user, or remain anonymous when the case requires it.
2. Record relevant UI, API and database baseline identifiers, statuses, counts and balances.
3. Use the documented page/API to verify that keyboard-only user completes login and primary workflow.
4. Refresh or repeat through an independent client where concurrency, polling or idempotency applies.
5. Compare the outcome, scope, audit fields and side effects with the expected result; capture evidence.</t>
        </is>
      </c>
      <c r="N178" s="4" t="inlineStr">
        <is>
          <t>The release candidate demonstrates the specified behavior exactly and only within the actor's authorized scope: Keyboard-only user completes login and primary workflow. No unrelated record changes.</t>
        </is>
      </c>
      <c r="O178" s="4" t="inlineStr">
        <is>
          <t>Reverse only synthetic changes through supported UI/API, or restore the approved isolated snapshot; confirm no residual locks, sessions, occupied tables or stock deltas.</t>
        </is>
      </c>
      <c r="P178" s="4" t="inlineStr">
        <is>
          <t>Yes</t>
        </is>
      </c>
      <c r="Q178" s="4" t="inlineStr">
        <is>
          <t>Timestamped screenshots for UI; request/response with secrets redacted for API; query IDs/counts/balances for transactions; export/build artifact or monitoring trace where applicable.</t>
        </is>
      </c>
      <c r="R178" s="4" t="inlineStr">
        <is>
          <t>Planned / Not Yet Executed</t>
        </is>
      </c>
      <c r="S178" s="4" t="inlineStr"/>
      <c r="T178" s="4" t="inlineStr"/>
      <c r="U178" s="4" t="inlineStr"/>
      <c r="V178" s="4" t="inlineStr"/>
      <c r="W178" s="4" t="inlineStr"/>
      <c r="X178" s="4" t="inlineStr"/>
    </row>
    <row r="179" ht="72" customHeight="1">
      <c r="A179" s="4" t="inlineStr">
        <is>
          <t>A11Y-002</t>
        </is>
      </c>
      <c r="B179" s="4" t="inlineStr">
        <is>
          <t>Accessibility</t>
        </is>
      </c>
      <c r="C179" s="4" t="inlineStr">
        <is>
          <t>NFR-04</t>
        </is>
      </c>
      <c r="D179" s="4" t="inlineStr">
        <is>
          <t>Visible focus order follows the visual interaction order</t>
        </is>
      </c>
      <c r="E179" s="4" t="inlineStr">
        <is>
          <t>Verify, without assuming a pass result, that the release candidate correctly enforces: Visible focus order follows the visual interaction order.</t>
        </is>
      </c>
      <c r="F179" s="4" t="inlineStr">
        <is>
          <t>Positive</t>
        </is>
      </c>
      <c r="G179" s="4" t="inlineStr">
        <is>
          <t>High</t>
        </is>
      </c>
      <c r="H179" s="4" t="inlineStr">
        <is>
          <t>High</t>
        </is>
      </c>
      <c r="I179" s="4" t="inlineStr">
        <is>
          <t>Supported browser, keyboard and accessibility inspection tools are available.</t>
        </is>
      </c>
      <c r="J179" s="4" t="inlineStr">
        <is>
          <t>Use only named synthetic records from the Test Data Plan; capture generated IDs and baseline values in evidence. Never use real credentials, customer PII or secrets.</t>
        </is>
      </c>
      <c r="K179" s="4" t="inlineStr">
        <is>
          <t>Keyboard / assistive technology user</t>
        </is>
      </c>
      <c r="L179" s="4" t="inlineStr">
        <is>
          <t>Restaurant A / Branch A1 unless the case explicitly tests another scope</t>
        </is>
      </c>
      <c r="M179" s="4" t="inlineStr">
        <is>
          <t>1. Sign in as Keyboard / assistive technology user, or remain anonymous when the case requires it.
2. Record relevant UI, API and database baseline identifiers, statuses, counts and balances.
3. Use the documented page/API to verify that visible focus order follows the visual interaction order.
4. Refresh or repeat through an independent client where concurrency, polling or idempotency applies.
5. Compare the outcome, scope, audit fields and side effects with the expected result; capture evidence.</t>
        </is>
      </c>
      <c r="N179" s="4" t="inlineStr">
        <is>
          <t>The release candidate demonstrates the specified behavior exactly and only within the actor's authorized scope: Visible focus order follows the visual interaction order. No unrelated record changes.</t>
        </is>
      </c>
      <c r="O179" s="4" t="inlineStr">
        <is>
          <t>Reverse only synthetic changes through supported UI/API, or restore the approved isolated snapshot; confirm no residual locks, sessions, occupied tables or stock deltas.</t>
        </is>
      </c>
      <c r="P179" s="4" t="inlineStr">
        <is>
          <t>Yes</t>
        </is>
      </c>
      <c r="Q179" s="4" t="inlineStr">
        <is>
          <t>Timestamped screenshots for UI; request/response with secrets redacted for API; query IDs/counts/balances for transactions; export/build artifact or monitoring trace where applicable.</t>
        </is>
      </c>
      <c r="R179" s="4" t="inlineStr">
        <is>
          <t>Planned / Not Yet Executed</t>
        </is>
      </c>
      <c r="S179" s="4" t="inlineStr"/>
      <c r="T179" s="4" t="inlineStr"/>
      <c r="U179" s="4" t="inlineStr"/>
      <c r="V179" s="4" t="inlineStr"/>
      <c r="W179" s="4" t="inlineStr"/>
      <c r="X179" s="4" t="inlineStr"/>
    </row>
    <row r="180" ht="72" customHeight="1">
      <c r="A180" s="4" t="inlineStr">
        <is>
          <t>A11Y-003</t>
        </is>
      </c>
      <c r="B180" s="4" t="inlineStr">
        <is>
          <t>Accessibility</t>
        </is>
      </c>
      <c r="C180" s="4" t="inlineStr">
        <is>
          <t>NFR-04</t>
        </is>
      </c>
      <c r="D180" s="4" t="inlineStr">
        <is>
          <t>Forms expose programmatic labels instructions and errors</t>
        </is>
      </c>
      <c r="E180" s="4" t="inlineStr">
        <is>
          <t>Verify, without assuming a pass result, that the release candidate correctly enforces: Forms expose programmatic labels instructions and errors.</t>
        </is>
      </c>
      <c r="F180" s="4" t="inlineStr">
        <is>
          <t>Positive</t>
        </is>
      </c>
      <c r="G180" s="4" t="inlineStr">
        <is>
          <t>Medium</t>
        </is>
      </c>
      <c r="H180" s="4" t="inlineStr">
        <is>
          <t>Medium</t>
        </is>
      </c>
      <c r="I180" s="4" t="inlineStr">
        <is>
          <t>Supported browser, keyboard and accessibility inspection tools are available.</t>
        </is>
      </c>
      <c r="J180" s="4" t="inlineStr">
        <is>
          <t>Use only named synthetic records from the Test Data Plan; capture generated IDs and baseline values in evidence. Never use real credentials, customer PII or secrets.</t>
        </is>
      </c>
      <c r="K180" s="4" t="inlineStr">
        <is>
          <t>Keyboard / assistive technology user</t>
        </is>
      </c>
      <c r="L180" s="4" t="inlineStr">
        <is>
          <t>Restaurant A / Branch A1 unless the case explicitly tests another scope</t>
        </is>
      </c>
      <c r="M180" s="4" t="inlineStr">
        <is>
          <t>1. Sign in as Keyboard / assistive technology user, or remain anonymous when the case requires it.
2. Record relevant UI, API and database baseline identifiers, statuses, counts and balances.
3. Use the documented page/API to verify that forms expose programmatic labels instructions and errors.
4. Refresh or repeat through an independent client where concurrency, polling or idempotency applies.
5. Compare the outcome, scope, audit fields and side effects with the expected result; capture evidence.</t>
        </is>
      </c>
      <c r="N180" s="4" t="inlineStr">
        <is>
          <t>The release candidate demonstrates the specified behavior exactly and only within the actor's authorized scope: Forms expose programmatic labels instructions and errors. No unrelated record changes.</t>
        </is>
      </c>
      <c r="O180" s="4" t="inlineStr">
        <is>
          <t>Reverse only synthetic changes through supported UI/API, or restore the approved isolated snapshot; confirm no residual locks, sessions, occupied tables or stock deltas.</t>
        </is>
      </c>
      <c r="P180" s="4" t="inlineStr">
        <is>
          <t>Yes</t>
        </is>
      </c>
      <c r="Q180" s="4" t="inlineStr">
        <is>
          <t>Timestamped screenshots for UI; request/response with secrets redacted for API; query IDs/counts/balances for transactions; export/build artifact or monitoring trace where applicable.</t>
        </is>
      </c>
      <c r="R180" s="4" t="inlineStr">
        <is>
          <t>Planned / Not Yet Executed</t>
        </is>
      </c>
      <c r="S180" s="4" t="inlineStr"/>
      <c r="T180" s="4" t="inlineStr"/>
      <c r="U180" s="4" t="inlineStr"/>
      <c r="V180" s="4" t="inlineStr"/>
      <c r="W180" s="4" t="inlineStr"/>
      <c r="X180" s="4" t="inlineStr"/>
    </row>
    <row r="181" ht="72" customHeight="1">
      <c r="A181" s="4" t="inlineStr">
        <is>
          <t>A11Y-004</t>
        </is>
      </c>
      <c r="B181" s="4" t="inlineStr">
        <is>
          <t>Accessibility</t>
        </is>
      </c>
      <c r="C181" s="4" t="inlineStr">
        <is>
          <t>NFR-04</t>
        </is>
      </c>
      <c r="D181" s="4" t="inlineStr">
        <is>
          <t>Dialogs trap focus and restore it when closed</t>
        </is>
      </c>
      <c r="E181" s="4" t="inlineStr">
        <is>
          <t>Verify, without assuming a pass result, that the release candidate correctly enforces: Dialogs trap focus and restore it when closed.</t>
        </is>
      </c>
      <c r="F181" s="4" t="inlineStr">
        <is>
          <t>Positive</t>
        </is>
      </c>
      <c r="G181" s="4" t="inlineStr">
        <is>
          <t>High</t>
        </is>
      </c>
      <c r="H181" s="4" t="inlineStr">
        <is>
          <t>High</t>
        </is>
      </c>
      <c r="I181" s="4" t="inlineStr">
        <is>
          <t>Supported browser, keyboard and accessibility inspection tools are available.</t>
        </is>
      </c>
      <c r="J181" s="4" t="inlineStr">
        <is>
          <t>Use only named synthetic records from the Test Data Plan; capture generated IDs and baseline values in evidence. Never use real credentials, customer PII or secrets.</t>
        </is>
      </c>
      <c r="K181" s="4" t="inlineStr">
        <is>
          <t>Keyboard / assistive technology user</t>
        </is>
      </c>
      <c r="L181" s="4" t="inlineStr">
        <is>
          <t>Restaurant A / Branch A1 unless the case explicitly tests another scope</t>
        </is>
      </c>
      <c r="M181" s="4" t="inlineStr">
        <is>
          <t>1. Sign in as Keyboard / assistive technology user, or remain anonymous when the case requires it.
2. Record relevant UI, API and database baseline identifiers, statuses, counts and balances.
3. Use the documented page/API to verify that dialogs trap focus and restore it when closed.
4. Refresh or repeat through an independent client where concurrency, polling or idempotency applies.
5. Compare the outcome, scope, audit fields and side effects with the expected result; capture evidence.</t>
        </is>
      </c>
      <c r="N181" s="4" t="inlineStr">
        <is>
          <t>The release candidate demonstrates the specified behavior exactly and only within the actor's authorized scope: Dialogs trap focus and restore it when closed. No unrelated record changes.</t>
        </is>
      </c>
      <c r="O181" s="4" t="inlineStr">
        <is>
          <t>Reverse only synthetic changes through supported UI/API, or restore the approved isolated snapshot; confirm no residual locks, sessions, occupied tables or stock deltas.</t>
        </is>
      </c>
      <c r="P181" s="4" t="inlineStr">
        <is>
          <t>Yes</t>
        </is>
      </c>
      <c r="Q181" s="4" t="inlineStr">
        <is>
          <t>Timestamped screenshots for UI; request/response with secrets redacted for API; query IDs/counts/balances for transactions; export/build artifact or monitoring trace where applicable.</t>
        </is>
      </c>
      <c r="R181" s="4" t="inlineStr">
        <is>
          <t>Planned / Not Yet Executed</t>
        </is>
      </c>
      <c r="S181" s="4" t="inlineStr"/>
      <c r="T181" s="4" t="inlineStr"/>
      <c r="U181" s="4" t="inlineStr"/>
      <c r="V181" s="4" t="inlineStr"/>
      <c r="W181" s="4" t="inlineStr"/>
      <c r="X181" s="4" t="inlineStr"/>
    </row>
    <row r="182" ht="72" customHeight="1">
      <c r="A182" s="4" t="inlineStr">
        <is>
          <t>A11Y-005</t>
        </is>
      </c>
      <c r="B182" s="4" t="inlineStr">
        <is>
          <t>Accessibility</t>
        </is>
      </c>
      <c r="C182" s="4" t="inlineStr">
        <is>
          <t>NFR-04</t>
        </is>
      </c>
      <c r="D182" s="4" t="inlineStr">
        <is>
          <t>Status information is not conveyed by color alone</t>
        </is>
      </c>
      <c r="E182" s="4" t="inlineStr">
        <is>
          <t>Verify, without assuming a pass result, that the release candidate correctly enforces: Status information is not conveyed by color alone.</t>
        </is>
      </c>
      <c r="F182" s="4" t="inlineStr">
        <is>
          <t>Positive</t>
        </is>
      </c>
      <c r="G182" s="4" t="inlineStr">
        <is>
          <t>Medium</t>
        </is>
      </c>
      <c r="H182" s="4" t="inlineStr">
        <is>
          <t>Medium</t>
        </is>
      </c>
      <c r="I182" s="4" t="inlineStr">
        <is>
          <t>Supported browser, keyboard and accessibility inspection tools are available.</t>
        </is>
      </c>
      <c r="J182" s="4" t="inlineStr">
        <is>
          <t>Use only named synthetic records from the Test Data Plan; capture generated IDs and baseline values in evidence. Never use real credentials, customer PII or secrets.</t>
        </is>
      </c>
      <c r="K182" s="4" t="inlineStr">
        <is>
          <t>Keyboard / assistive technology user</t>
        </is>
      </c>
      <c r="L182" s="4" t="inlineStr">
        <is>
          <t>Restaurant A / Branch A1 unless the case explicitly tests another scope</t>
        </is>
      </c>
      <c r="M182" s="4" t="inlineStr">
        <is>
          <t>1. Sign in as Keyboard / assistive technology user, or remain anonymous when the case requires it.
2. Record relevant UI, API and database baseline identifiers, statuses, counts and balances.
3. Use the documented page/API to verify that status information is not conveyed by color alone.
4. Refresh or repeat through an independent client where concurrency, polling or idempotency applies.
5. Compare the outcome, scope, audit fields and side effects with the expected result; capture evidence.</t>
        </is>
      </c>
      <c r="N182" s="4" t="inlineStr">
        <is>
          <t>The release candidate demonstrates the specified behavior exactly and only within the actor's authorized scope: Status information is not conveyed by color alone. No unrelated record changes.</t>
        </is>
      </c>
      <c r="O182" s="4" t="inlineStr">
        <is>
          <t>Reverse only synthetic changes through supported UI/API, or restore the approved isolated snapshot; confirm no residual locks, sessions, occupied tables or stock deltas.</t>
        </is>
      </c>
      <c r="P182" s="4" t="inlineStr">
        <is>
          <t>Yes</t>
        </is>
      </c>
      <c r="Q182" s="4" t="inlineStr">
        <is>
          <t>Timestamped screenshots for UI; request/response with secrets redacted for API; query IDs/counts/balances for transactions; export/build artifact or monitoring trace where applicable.</t>
        </is>
      </c>
      <c r="R182" s="4" t="inlineStr">
        <is>
          <t>Planned / Not Yet Executed</t>
        </is>
      </c>
      <c r="S182" s="4" t="inlineStr"/>
      <c r="T182" s="4" t="inlineStr"/>
      <c r="U182" s="4" t="inlineStr"/>
      <c r="V182" s="4" t="inlineStr"/>
      <c r="W182" s="4" t="inlineStr"/>
      <c r="X182" s="4" t="inlineStr"/>
    </row>
    <row r="183" ht="72" customHeight="1">
      <c r="A183" s="4" t="inlineStr">
        <is>
          <t>A11Y-006</t>
        </is>
      </c>
      <c r="B183" s="4" t="inlineStr">
        <is>
          <t>Accessibility</t>
        </is>
      </c>
      <c r="C183" s="4" t="inlineStr">
        <is>
          <t>NFR-04</t>
        </is>
      </c>
      <c r="D183" s="4" t="inlineStr">
        <is>
          <t>Text contrast touch targets headings and landmarks meet WCAG 2.1 AA review</t>
        </is>
      </c>
      <c r="E183" s="4" t="inlineStr">
        <is>
          <t>Verify, without assuming a pass result, that the release candidate correctly enforces: Text contrast touch targets headings and landmarks meet WCAG 2.1 AA review.</t>
        </is>
      </c>
      <c r="F183" s="4" t="inlineStr">
        <is>
          <t>Positive</t>
        </is>
      </c>
      <c r="G183" s="4" t="inlineStr">
        <is>
          <t>Medium</t>
        </is>
      </c>
      <c r="H183" s="4" t="inlineStr">
        <is>
          <t>Medium</t>
        </is>
      </c>
      <c r="I183" s="4" t="inlineStr">
        <is>
          <t>Supported browser, keyboard and accessibility inspection tools are available.</t>
        </is>
      </c>
      <c r="J183" s="4" t="inlineStr">
        <is>
          <t>Use only named synthetic records from the Test Data Plan; capture generated IDs and baseline values in evidence. Never use real credentials, customer PII or secrets.</t>
        </is>
      </c>
      <c r="K183" s="4" t="inlineStr">
        <is>
          <t>Keyboard / assistive technology user</t>
        </is>
      </c>
      <c r="L183" s="4" t="inlineStr">
        <is>
          <t>Restaurant A / Branch A1 unless the case explicitly tests another scope</t>
        </is>
      </c>
      <c r="M183" s="4" t="inlineStr">
        <is>
          <t>1. Sign in as Keyboard / assistive technology user, or remain anonymous when the case requires it.
2. Record relevant UI, API and database baseline identifiers, statuses, counts and balances.
3. Use the documented page/API to verify that text contrast touch targets headings and landmarks meet WCAG 2.1 AA review.
4. Refresh or repeat through an independent client where concurrency, polling or idempotency applies.
5. Compare the outcome, scope, audit fields and side effects with the expected result; capture evidence.</t>
        </is>
      </c>
      <c r="N183" s="4" t="inlineStr">
        <is>
          <t>The release candidate demonstrates the specified behavior exactly and only within the actor's authorized scope: Text contrast touch targets headings and landmarks meet WCAG 2.1 AA review. No unrelated record changes.</t>
        </is>
      </c>
      <c r="O183" s="4" t="inlineStr">
        <is>
          <t>Reverse only synthetic changes through supported UI/API, or restore the approved isolated snapshot; confirm no residual locks, sessions, occupied tables or stock deltas.</t>
        </is>
      </c>
      <c r="P183" s="4" t="inlineStr">
        <is>
          <t>Yes</t>
        </is>
      </c>
      <c r="Q183" s="4" t="inlineStr">
        <is>
          <t>Timestamped screenshots for UI; request/response with secrets redacted for API; query IDs/counts/balances for transactions; export/build artifact or monitoring trace where applicable.</t>
        </is>
      </c>
      <c r="R183" s="4" t="inlineStr">
        <is>
          <t>Planned / Not Yet Executed</t>
        </is>
      </c>
      <c r="S183" s="4" t="inlineStr"/>
      <c r="T183" s="4" t="inlineStr"/>
      <c r="U183" s="4" t="inlineStr"/>
      <c r="V183" s="4" t="inlineStr"/>
      <c r="W183" s="4" t="inlineStr"/>
      <c r="X183" s="4" t="inlineStr"/>
    </row>
    <row r="184" ht="72" customHeight="1">
      <c r="A184" s="4" t="inlineStr">
        <is>
          <t>COMPAT-001</t>
        </is>
      </c>
      <c r="B184" s="4" t="inlineStr">
        <is>
          <t>Browser Compatibility</t>
        </is>
      </c>
      <c r="C184" s="4" t="inlineStr">
        <is>
          <t>NFR-07</t>
        </is>
      </c>
      <c r="D184" s="4" t="inlineStr">
        <is>
          <t>Current Chrome completes critical smoke path</t>
        </is>
      </c>
      <c r="E184" s="4" t="inlineStr">
        <is>
          <t>Verify, without assuming a pass result, that the release candidate correctly enforces: Current Chrome completes critical smoke path.</t>
        </is>
      </c>
      <c r="F184" s="4" t="inlineStr">
        <is>
          <t>Positive</t>
        </is>
      </c>
      <c r="G184" s="4" t="inlineStr">
        <is>
          <t>Medium</t>
        </is>
      </c>
      <c r="H184" s="4" t="inlineStr">
        <is>
          <t>Medium</t>
        </is>
      </c>
      <c r="I184" s="4" t="inlineStr">
        <is>
          <t>Current supported browser/device versions are recorded.</t>
        </is>
      </c>
      <c r="J184" s="4" t="inlineStr">
        <is>
          <t>Use only named synthetic records from the Test Data Plan; capture generated IDs and baseline values in evidence. Never use real credentials, customer PII or secrets.</t>
        </is>
      </c>
      <c r="K184" s="4" t="inlineStr">
        <is>
          <t>Representative role</t>
        </is>
      </c>
      <c r="L184" s="4" t="inlineStr">
        <is>
          <t>Restaurant A / Branch A1 unless the case explicitly tests another scope</t>
        </is>
      </c>
      <c r="M184" s="4" t="inlineStr">
        <is>
          <t>1. Sign in as Representative role, or remain anonymous when the case requires it.
2. Record relevant UI, API and database baseline identifiers, statuses, counts and balances.
3. Use the documented page/API to verify that current Chrome completes critical smoke path.
4. Refresh or repeat through an independent client where concurrency, polling or idempotency applies.
5. Compare the outcome, scope, audit fields and side effects with the expected result; capture evidence.</t>
        </is>
      </c>
      <c r="N184" s="4" t="inlineStr">
        <is>
          <t>The release candidate demonstrates the specified behavior exactly and only within the actor's authorized scope: Current Chrome completes critical smoke path. No unrelated record changes.</t>
        </is>
      </c>
      <c r="O184" s="4" t="inlineStr">
        <is>
          <t>Reverse only synthetic changes through supported UI/API, or restore the approved isolated snapshot; confirm no residual locks, sessions, occupied tables or stock deltas.</t>
        </is>
      </c>
      <c r="P184" s="4" t="inlineStr">
        <is>
          <t>Yes</t>
        </is>
      </c>
      <c r="Q184" s="4" t="inlineStr">
        <is>
          <t>Timestamped screenshots for UI; request/response with secrets redacted for API; query IDs/counts/balances for transactions; export/build artifact or monitoring trace where applicable.</t>
        </is>
      </c>
      <c r="R184" s="4" t="inlineStr">
        <is>
          <t>Planned / Not Yet Executed</t>
        </is>
      </c>
      <c r="S184" s="4" t="inlineStr"/>
      <c r="T184" s="4" t="inlineStr"/>
      <c r="U184" s="4" t="inlineStr"/>
      <c r="V184" s="4" t="inlineStr"/>
      <c r="W184" s="4" t="inlineStr"/>
      <c r="X184" s="4" t="inlineStr"/>
    </row>
    <row r="185" ht="72" customHeight="1">
      <c r="A185" s="4" t="inlineStr">
        <is>
          <t>COMPAT-002</t>
        </is>
      </c>
      <c r="B185" s="4" t="inlineStr">
        <is>
          <t>Browser Compatibility</t>
        </is>
      </c>
      <c r="C185" s="4" t="inlineStr">
        <is>
          <t>NFR-07</t>
        </is>
      </c>
      <c r="D185" s="4" t="inlineStr">
        <is>
          <t>Current Firefox completes critical smoke path</t>
        </is>
      </c>
      <c r="E185" s="4" t="inlineStr">
        <is>
          <t>Verify, without assuming a pass result, that the release candidate correctly enforces: Current Firefox completes critical smoke path.</t>
        </is>
      </c>
      <c r="F185" s="4" t="inlineStr">
        <is>
          <t>Positive</t>
        </is>
      </c>
      <c r="G185" s="4" t="inlineStr">
        <is>
          <t>Medium</t>
        </is>
      </c>
      <c r="H185" s="4" t="inlineStr">
        <is>
          <t>Medium</t>
        </is>
      </c>
      <c r="I185" s="4" t="inlineStr">
        <is>
          <t>Current supported browser/device versions are recorded.</t>
        </is>
      </c>
      <c r="J185" s="4" t="inlineStr">
        <is>
          <t>Use only named synthetic records from the Test Data Plan; capture generated IDs and baseline values in evidence. Never use real credentials, customer PII or secrets.</t>
        </is>
      </c>
      <c r="K185" s="4" t="inlineStr">
        <is>
          <t>Representative role</t>
        </is>
      </c>
      <c r="L185" s="4" t="inlineStr">
        <is>
          <t>Restaurant A / Branch A1 unless the case explicitly tests another scope</t>
        </is>
      </c>
      <c r="M185" s="4" t="inlineStr">
        <is>
          <t>1. Sign in as Representative role, or remain anonymous when the case requires it.
2. Record relevant UI, API and database baseline identifiers, statuses, counts and balances.
3. Use the documented page/API to verify that current Firefox completes critical smoke path.
4. Refresh or repeat through an independent client where concurrency, polling or idempotency applies.
5. Compare the outcome, scope, audit fields and side effects with the expected result; capture evidence.</t>
        </is>
      </c>
      <c r="N185" s="4" t="inlineStr">
        <is>
          <t>The release candidate demonstrates the specified behavior exactly and only within the actor's authorized scope: Current Firefox completes critical smoke path. No unrelated record changes.</t>
        </is>
      </c>
      <c r="O185" s="4" t="inlineStr">
        <is>
          <t>Reverse only synthetic changes through supported UI/API, or restore the approved isolated snapshot; confirm no residual locks, sessions, occupied tables or stock deltas.</t>
        </is>
      </c>
      <c r="P185" s="4" t="inlineStr">
        <is>
          <t>Yes</t>
        </is>
      </c>
      <c r="Q185" s="4" t="inlineStr">
        <is>
          <t>Timestamped screenshots for UI; request/response with secrets redacted for API; query IDs/counts/balances for transactions; export/build artifact or monitoring trace where applicable.</t>
        </is>
      </c>
      <c r="R185" s="4" t="inlineStr">
        <is>
          <t>Planned / Not Yet Executed</t>
        </is>
      </c>
      <c r="S185" s="4" t="inlineStr"/>
      <c r="T185" s="4" t="inlineStr"/>
      <c r="U185" s="4" t="inlineStr"/>
      <c r="V185" s="4" t="inlineStr"/>
      <c r="W185" s="4" t="inlineStr"/>
      <c r="X185" s="4" t="inlineStr"/>
    </row>
    <row r="186" ht="72" customHeight="1">
      <c r="A186" s="4" t="inlineStr">
        <is>
          <t>COMPAT-003</t>
        </is>
      </c>
      <c r="B186" s="4" t="inlineStr">
        <is>
          <t>Browser Compatibility</t>
        </is>
      </c>
      <c r="C186" s="4" t="inlineStr">
        <is>
          <t>NFR-07</t>
        </is>
      </c>
      <c r="D186" s="4" t="inlineStr">
        <is>
          <t>Current Edge completes critical smoke path</t>
        </is>
      </c>
      <c r="E186" s="4" t="inlineStr">
        <is>
          <t>Verify, without assuming a pass result, that the release candidate correctly enforces: Current Edge completes critical smoke path.</t>
        </is>
      </c>
      <c r="F186" s="4" t="inlineStr">
        <is>
          <t>Positive</t>
        </is>
      </c>
      <c r="G186" s="4" t="inlineStr">
        <is>
          <t>Medium</t>
        </is>
      </c>
      <c r="H186" s="4" t="inlineStr">
        <is>
          <t>Medium</t>
        </is>
      </c>
      <c r="I186" s="4" t="inlineStr">
        <is>
          <t>Current supported browser/device versions are recorded.</t>
        </is>
      </c>
      <c r="J186" s="4" t="inlineStr">
        <is>
          <t>Use only named synthetic records from the Test Data Plan; capture generated IDs and baseline values in evidence. Never use real credentials, customer PII or secrets.</t>
        </is>
      </c>
      <c r="K186" s="4" t="inlineStr">
        <is>
          <t>Representative role</t>
        </is>
      </c>
      <c r="L186" s="4" t="inlineStr">
        <is>
          <t>Restaurant A / Branch A1 unless the case explicitly tests another scope</t>
        </is>
      </c>
      <c r="M186" s="4" t="inlineStr">
        <is>
          <t>1. Sign in as Representative role, or remain anonymous when the case requires it.
2. Record relevant UI, API and database baseline identifiers, statuses, counts and balances.
3. Use the documented page/API to verify that current Edge completes critical smoke path.
4. Refresh or repeat through an independent client where concurrency, polling or idempotency applies.
5. Compare the outcome, scope, audit fields and side effects with the expected result; capture evidence.</t>
        </is>
      </c>
      <c r="N186" s="4" t="inlineStr">
        <is>
          <t>The release candidate demonstrates the specified behavior exactly and only within the actor's authorized scope: Current Edge completes critical smoke path. No unrelated record changes.</t>
        </is>
      </c>
      <c r="O186" s="4" t="inlineStr">
        <is>
          <t>Reverse only synthetic changes through supported UI/API, or restore the approved isolated snapshot; confirm no residual locks, sessions, occupied tables or stock deltas.</t>
        </is>
      </c>
      <c r="P186" s="4" t="inlineStr">
        <is>
          <t>Yes</t>
        </is>
      </c>
      <c r="Q186" s="4" t="inlineStr">
        <is>
          <t>Timestamped screenshots for UI; request/response with secrets redacted for API; query IDs/counts/balances for transactions; export/build artifact or monitoring trace where applicable.</t>
        </is>
      </c>
      <c r="R186" s="4" t="inlineStr">
        <is>
          <t>Planned / Not Yet Executed</t>
        </is>
      </c>
      <c r="S186" s="4" t="inlineStr"/>
      <c r="T186" s="4" t="inlineStr"/>
      <c r="U186" s="4" t="inlineStr"/>
      <c r="V186" s="4" t="inlineStr"/>
      <c r="W186" s="4" t="inlineStr"/>
      <c r="X186" s="4" t="inlineStr"/>
    </row>
    <row r="187" ht="72" customHeight="1">
      <c r="A187" s="4" t="inlineStr">
        <is>
          <t>COMPAT-004</t>
        </is>
      </c>
      <c r="B187" s="4" t="inlineStr">
        <is>
          <t>Browser Compatibility</t>
        </is>
      </c>
      <c r="C187" s="4" t="inlineStr">
        <is>
          <t>NFR-07</t>
        </is>
      </c>
      <c r="D187" s="4" t="inlineStr">
        <is>
          <t>Current mobile Safari or iOS WebKit completes critical smoke path</t>
        </is>
      </c>
      <c r="E187" s="4" t="inlineStr">
        <is>
          <t>Verify, without assuming a pass result, that the release candidate correctly enforces: Current mobile Safari or iOS WebKit completes critical smoke path.</t>
        </is>
      </c>
      <c r="F187" s="4" t="inlineStr">
        <is>
          <t>Positive</t>
        </is>
      </c>
      <c r="G187" s="4" t="inlineStr">
        <is>
          <t>Medium</t>
        </is>
      </c>
      <c r="H187" s="4" t="inlineStr">
        <is>
          <t>Medium</t>
        </is>
      </c>
      <c r="I187" s="4" t="inlineStr">
        <is>
          <t>Current supported browser/device versions are recorded.</t>
        </is>
      </c>
      <c r="J187" s="4" t="inlineStr">
        <is>
          <t>Use only named synthetic records from the Test Data Plan; capture generated IDs and baseline values in evidence. Never use real credentials, customer PII or secrets.</t>
        </is>
      </c>
      <c r="K187" s="4" t="inlineStr">
        <is>
          <t>Representative role</t>
        </is>
      </c>
      <c r="L187" s="4" t="inlineStr">
        <is>
          <t>Restaurant A / Branch A1 unless the case explicitly tests another scope</t>
        </is>
      </c>
      <c r="M187" s="4" t="inlineStr">
        <is>
          <t>1. Sign in as Representative role, or remain anonymous when the case requires it.
2. Record relevant UI, API and database baseline identifiers, statuses, counts and balances.
3. Use the documented page/API to verify that current mobile Safari or iOS WebKit completes critical smoke path.
4. Refresh or repeat through an independent client where concurrency, polling or idempotency applies.
5. Compare the outcome, scope, audit fields and side effects with the expected result; capture evidence.</t>
        </is>
      </c>
      <c r="N187" s="4" t="inlineStr">
        <is>
          <t>The release candidate demonstrates the specified behavior exactly and only within the actor's authorized scope: Current mobile Safari or iOS WebKit completes critical smoke path. No unrelated record changes.</t>
        </is>
      </c>
      <c r="O187" s="4" t="inlineStr">
        <is>
          <t>Reverse only synthetic changes through supported UI/API, or restore the approved isolated snapshot; confirm no residual locks, sessions, occupied tables or stock deltas.</t>
        </is>
      </c>
      <c r="P187" s="4" t="inlineStr">
        <is>
          <t>Yes</t>
        </is>
      </c>
      <c r="Q187" s="4" t="inlineStr">
        <is>
          <t>Timestamped screenshots for UI; request/response with secrets redacted for API; query IDs/counts/balances for transactions; export/build artifact or monitoring trace where applicable.</t>
        </is>
      </c>
      <c r="R187" s="4" t="inlineStr">
        <is>
          <t>Planned / Not Yet Executed</t>
        </is>
      </c>
      <c r="S187" s="4" t="inlineStr"/>
      <c r="T187" s="4" t="inlineStr"/>
      <c r="U187" s="4" t="inlineStr"/>
      <c r="V187" s="4" t="inlineStr"/>
      <c r="W187" s="4" t="inlineStr"/>
      <c r="X187" s="4" t="inlineStr"/>
    </row>
    <row r="188" ht="72" customHeight="1">
      <c r="A188" s="4" t="inlineStr">
        <is>
          <t>API-001</t>
        </is>
      </c>
      <c r="B188" s="4" t="inlineStr">
        <is>
          <t>API Contract</t>
        </is>
      </c>
      <c r="C188" s="4" t="inlineStr">
        <is>
          <t>FR-A02, NFR-05</t>
        </is>
      </c>
      <c r="D188" s="4" t="inlineStr">
        <is>
          <t>Browser base rewrites to authoritative backend API prefix</t>
        </is>
      </c>
      <c r="E188" s="4" t="inlineStr">
        <is>
          <t>Verify, without assuming a pass result, that the release candidate correctly enforces: Browser base rewrites to authoritative backend API prefix.</t>
        </is>
      </c>
      <c r="F188" s="4" t="inlineStr">
        <is>
          <t>Integration</t>
        </is>
      </c>
      <c r="G188" s="4" t="inlineStr">
        <is>
          <t>Medium</t>
        </is>
      </c>
      <c r="H188" s="4" t="inlineStr">
        <is>
          <t>Medium</t>
        </is>
      </c>
      <c r="I188" s="4" t="inlineStr">
        <is>
          <t>Release-candidate API and safe synthetic tokens/IDs are available.</t>
        </is>
      </c>
      <c r="J188" s="4" t="inlineStr">
        <is>
          <t>Use only named synthetic records from the Test Data Plan; capture generated IDs and baseline values in evidence. Never use real credentials, customer PII or secrets.</t>
        </is>
      </c>
      <c r="K188" s="4" t="inlineStr">
        <is>
          <t>Authenticated role / Anonymous</t>
        </is>
      </c>
      <c r="L188" s="4" t="inlineStr">
        <is>
          <t>Isolated QA or staging; never production unless the approved smoke step explicitly says so</t>
        </is>
      </c>
      <c r="M188" s="4" t="inlineStr">
        <is>
          <t>1. Sign in as Authenticated role / Anonymous, or remain anonymous when the case requires it.
2. Record relevant UI, API and database baseline identifiers, statuses, counts and balances.
3. Use the documented page/API to verify that browser base rewrites to authoritative backend API prefix.
4. Refresh or repeat through an independent client where concurrency, polling or idempotency applies.
5. Compare the outcome, scope, audit fields and side effects with the expected result; capture evidence.</t>
        </is>
      </c>
      <c r="N188" s="4" t="inlineStr">
        <is>
          <t>The release candidate demonstrates the specified behavior exactly and only within the actor's authorized scope: Browser base rewrites to authoritative backend API prefix. No unrelated record changes.</t>
        </is>
      </c>
      <c r="O188" s="4" t="inlineStr">
        <is>
          <t>Reverse only synthetic changes through supported UI/API, or restore the approved isolated snapshot; confirm no residual locks, sessions, occupied tables or stock deltas.</t>
        </is>
      </c>
      <c r="P188" s="4" t="inlineStr">
        <is>
          <t>Yes</t>
        </is>
      </c>
      <c r="Q188" s="4" t="inlineStr">
        <is>
          <t>Timestamped screenshots for UI; request/response with secrets redacted for API; query IDs/counts/balances for transactions; export/build artifact or monitoring trace where applicable.</t>
        </is>
      </c>
      <c r="R188" s="4" t="inlineStr">
        <is>
          <t>Planned / Not Yet Executed</t>
        </is>
      </c>
      <c r="S188" s="4" t="inlineStr"/>
      <c r="T188" s="4" t="inlineStr"/>
      <c r="U188" s="4" t="inlineStr"/>
      <c r="V188" s="4" t="inlineStr"/>
      <c r="W188" s="4" t="inlineStr"/>
      <c r="X188" s="4" t="inlineStr"/>
    </row>
    <row r="189" ht="72" customHeight="1">
      <c r="A189" s="4" t="inlineStr">
        <is>
          <t>API-002</t>
        </is>
      </c>
      <c r="B189" s="4" t="inlineStr">
        <is>
          <t>API Contract</t>
        </is>
      </c>
      <c r="C189" s="4" t="inlineStr">
        <is>
          <t>FR-A02, NFR-05</t>
        </is>
      </c>
      <c r="D189" s="4" t="inlineStr">
        <is>
          <t>Successful endpoints return stable documented JSON shapes</t>
        </is>
      </c>
      <c r="E189" s="4" t="inlineStr">
        <is>
          <t>Verify, without assuming a pass result, that the release candidate correctly enforces: Successful endpoints return stable documented JSON shapes.</t>
        </is>
      </c>
      <c r="F189" s="4" t="inlineStr">
        <is>
          <t>Positive</t>
        </is>
      </c>
      <c r="G189" s="4" t="inlineStr">
        <is>
          <t>Medium</t>
        </is>
      </c>
      <c r="H189" s="4" t="inlineStr">
        <is>
          <t>Medium</t>
        </is>
      </c>
      <c r="I189" s="4" t="inlineStr">
        <is>
          <t>Release-candidate API and safe synthetic tokens/IDs are available.</t>
        </is>
      </c>
      <c r="J189" s="4" t="inlineStr">
        <is>
          <t>Use only named synthetic records from the Test Data Plan; capture generated IDs and baseline values in evidence. Never use real credentials, customer PII or secrets.</t>
        </is>
      </c>
      <c r="K189" s="4" t="inlineStr">
        <is>
          <t>Authenticated role / Anonymous</t>
        </is>
      </c>
      <c r="L189" s="4" t="inlineStr">
        <is>
          <t>Isolated QA or staging; never production unless the approved smoke step explicitly says so</t>
        </is>
      </c>
      <c r="M189" s="4" t="inlineStr">
        <is>
          <t>1. Sign in as Authenticated role / Anonymous, or remain anonymous when the case requires it.
2. Record relevant UI, API and database baseline identifiers, statuses, counts and balances.
3. Use the documented page/API to verify that successful endpoints return stable documented JSON shapes.
4. Refresh or repeat through an independent client where concurrency, polling or idempotency applies.
5. Compare the outcome, scope, audit fields and side effects with the expected result; capture evidence.</t>
        </is>
      </c>
      <c r="N189" s="4" t="inlineStr">
        <is>
          <t>The release candidate demonstrates the specified behavior exactly and only within the actor's authorized scope: Successful endpoints return stable documented JSON shapes. No unrelated record changes.</t>
        </is>
      </c>
      <c r="O189" s="4" t="inlineStr">
        <is>
          <t>Reverse only synthetic changes through supported UI/API, or restore the approved isolated snapshot; confirm no residual locks, sessions, occupied tables or stock deltas.</t>
        </is>
      </c>
      <c r="P189" s="4" t="inlineStr">
        <is>
          <t>Yes</t>
        </is>
      </c>
      <c r="Q189" s="4" t="inlineStr">
        <is>
          <t>Timestamped screenshots for UI; request/response with secrets redacted for API; query IDs/counts/balances for transactions; export/build artifact or monitoring trace where applicable.</t>
        </is>
      </c>
      <c r="R189" s="4" t="inlineStr">
        <is>
          <t>Planned / Not Yet Executed</t>
        </is>
      </c>
      <c r="S189" s="4" t="inlineStr"/>
      <c r="T189" s="4" t="inlineStr"/>
      <c r="U189" s="4" t="inlineStr"/>
      <c r="V189" s="4" t="inlineStr"/>
      <c r="W189" s="4" t="inlineStr"/>
      <c r="X189" s="4" t="inlineStr"/>
    </row>
    <row r="190" ht="72" customHeight="1">
      <c r="A190" s="4" t="inlineStr">
        <is>
          <t>API-003</t>
        </is>
      </c>
      <c r="B190" s="4" t="inlineStr">
        <is>
          <t>API Contract</t>
        </is>
      </c>
      <c r="C190" s="4" t="inlineStr">
        <is>
          <t>FR-A02, NFR-05</t>
        </is>
      </c>
      <c r="D190" s="4" t="inlineStr">
        <is>
          <t>Create returns appropriate 201 or documented success status</t>
        </is>
      </c>
      <c r="E190" s="4" t="inlineStr">
        <is>
          <t>Verify, without assuming a pass result, that the release candidate correctly enforces: Create returns appropriate 201 or documented success status.</t>
        </is>
      </c>
      <c r="F190" s="4" t="inlineStr">
        <is>
          <t>Positive</t>
        </is>
      </c>
      <c r="G190" s="4" t="inlineStr">
        <is>
          <t>Medium</t>
        </is>
      </c>
      <c r="H190" s="4" t="inlineStr">
        <is>
          <t>Medium</t>
        </is>
      </c>
      <c r="I190" s="4" t="inlineStr">
        <is>
          <t>Release-candidate API and safe synthetic tokens/IDs are available.</t>
        </is>
      </c>
      <c r="J190" s="4" t="inlineStr">
        <is>
          <t>Use only named synthetic records from the Test Data Plan; capture generated IDs and baseline values in evidence. Never use real credentials, customer PII or secrets.</t>
        </is>
      </c>
      <c r="K190" s="4" t="inlineStr">
        <is>
          <t>Authenticated role / Anonymous</t>
        </is>
      </c>
      <c r="L190" s="4" t="inlineStr">
        <is>
          <t>Isolated QA or staging; never production unless the approved smoke step explicitly says so</t>
        </is>
      </c>
      <c r="M190" s="4" t="inlineStr">
        <is>
          <t>1. Sign in as Authenticated role / Anonymous, or remain anonymous when the case requires it.
2. Record relevant UI, API and database baseline identifiers, statuses, counts and balances.
3. Use the documented page/API to verify that create returns appropriate 201 or documented success status.
4. Refresh or repeat through an independent client where concurrency, polling or idempotency applies.
5. Compare the outcome, scope, audit fields and side effects with the expected result; capture evidence.</t>
        </is>
      </c>
      <c r="N190" s="4" t="inlineStr">
        <is>
          <t>The release candidate demonstrates the specified behavior exactly and only within the actor's authorized scope: Create returns appropriate 201 or documented success status. No unrelated record changes.</t>
        </is>
      </c>
      <c r="O190" s="4" t="inlineStr">
        <is>
          <t>Reverse only synthetic changes through supported UI/API, or restore the approved isolated snapshot; confirm no residual locks, sessions, occupied tables or stock deltas.</t>
        </is>
      </c>
      <c r="P190" s="4" t="inlineStr">
        <is>
          <t>Yes</t>
        </is>
      </c>
      <c r="Q190" s="4" t="inlineStr">
        <is>
          <t>Timestamped screenshots for UI; request/response with secrets redacted for API; query IDs/counts/balances for transactions; export/build artifact or monitoring trace where applicable.</t>
        </is>
      </c>
      <c r="R190" s="4" t="inlineStr">
        <is>
          <t>Planned / Not Yet Executed</t>
        </is>
      </c>
      <c r="S190" s="4" t="inlineStr"/>
      <c r="T190" s="4" t="inlineStr"/>
      <c r="U190" s="4" t="inlineStr"/>
      <c r="V190" s="4" t="inlineStr"/>
      <c r="W190" s="4" t="inlineStr"/>
      <c r="X190" s="4" t="inlineStr"/>
    </row>
    <row r="191" ht="72" customHeight="1">
      <c r="A191" s="4" t="inlineStr">
        <is>
          <t>API-004</t>
        </is>
      </c>
      <c r="B191" s="4" t="inlineStr">
        <is>
          <t>API Contract</t>
        </is>
      </c>
      <c r="C191" s="4" t="inlineStr">
        <is>
          <t>FR-A02, NFR-05</t>
        </is>
      </c>
      <c r="D191" s="4" t="inlineStr">
        <is>
          <t>Invalid DTO returns 400 with safe actionable error</t>
        </is>
      </c>
      <c r="E191" s="4" t="inlineStr">
        <is>
          <t>Verify, without assuming a pass result, that the release candidate correctly enforces: Invalid DTO returns 400 with safe actionable error.</t>
        </is>
      </c>
      <c r="F191" s="4" t="inlineStr">
        <is>
          <t>Negative</t>
        </is>
      </c>
      <c r="G191" s="4" t="inlineStr">
        <is>
          <t>Medium</t>
        </is>
      </c>
      <c r="H191" s="4" t="inlineStr">
        <is>
          <t>Medium</t>
        </is>
      </c>
      <c r="I191" s="4" t="inlineStr">
        <is>
          <t>Release-candidate API and safe synthetic tokens/IDs are available.</t>
        </is>
      </c>
      <c r="J191" s="4" t="inlineStr">
        <is>
          <t>Use only named synthetic records from the Test Data Plan; capture generated IDs and baseline values in evidence. Never use real credentials, customer PII or secrets.</t>
        </is>
      </c>
      <c r="K191" s="4" t="inlineStr">
        <is>
          <t>Authenticated role / Anonymous</t>
        </is>
      </c>
      <c r="L191" s="4" t="inlineStr">
        <is>
          <t>Isolated QA or staging; never production unless the approved smoke step explicitly says so</t>
        </is>
      </c>
      <c r="M191" s="4" t="inlineStr">
        <is>
          <t>1. Sign in as Authenticated role / Anonymous, or remain anonymous when the case requires it.
2. Record relevant UI, API and database baseline identifiers, statuses, counts and balances.
3. Use the documented page/API to verify that invalid DTO returns 400 with safe actionable error.
4. Refresh or repeat through an independent client where concurrency, polling or idempotency applies.
5. Compare the outcome, scope, audit fields and side effects with the expected result; capture evidence.</t>
        </is>
      </c>
      <c r="N191" s="4" t="inlineStr">
        <is>
          <t>The release candidate demonstrates the specified behavior exactly and only within the actor's authorized scope: Invalid DTO returns 400 with safe actionable error. No unrelated record changes.</t>
        </is>
      </c>
      <c r="O191" s="4" t="inlineStr">
        <is>
          <t>Reverse only synthetic changes through supported UI/API, or restore the approved isolated snapshot; confirm no residual locks, sessions, occupied tables or stock deltas.</t>
        </is>
      </c>
      <c r="P191" s="4" t="inlineStr">
        <is>
          <t>Yes</t>
        </is>
      </c>
      <c r="Q191" s="4" t="inlineStr">
        <is>
          <t>Timestamped screenshots for UI; request/response with secrets redacted for API; query IDs/counts/balances for transactions; export/build artifact or monitoring trace where applicable.</t>
        </is>
      </c>
      <c r="R191" s="4" t="inlineStr">
        <is>
          <t>Planned / Not Yet Executed</t>
        </is>
      </c>
      <c r="S191" s="4" t="inlineStr"/>
      <c r="T191" s="4" t="inlineStr"/>
      <c r="U191" s="4" t="inlineStr"/>
      <c r="V191" s="4" t="inlineStr"/>
      <c r="W191" s="4" t="inlineStr"/>
      <c r="X191" s="4" t="inlineStr"/>
    </row>
    <row r="192" ht="72" customHeight="1">
      <c r="A192" s="4" t="inlineStr">
        <is>
          <t>API-005</t>
        </is>
      </c>
      <c r="B192" s="4" t="inlineStr">
        <is>
          <t>API Contract</t>
        </is>
      </c>
      <c r="C192" s="4" t="inlineStr">
        <is>
          <t>FR-A02, NFR-05</t>
        </is>
      </c>
      <c r="D192" s="4" t="inlineStr">
        <is>
          <t>Unauthenticated request returns 401</t>
        </is>
      </c>
      <c r="E192" s="4" t="inlineStr">
        <is>
          <t>Verify, without assuming a pass result, that the release candidate correctly enforces: Unauthenticated request returns 401.</t>
        </is>
      </c>
      <c r="F192" s="4" t="inlineStr">
        <is>
          <t>Positive</t>
        </is>
      </c>
      <c r="G192" s="4" t="inlineStr">
        <is>
          <t>Medium</t>
        </is>
      </c>
      <c r="H192" s="4" t="inlineStr">
        <is>
          <t>Medium</t>
        </is>
      </c>
      <c r="I192" s="4" t="inlineStr">
        <is>
          <t>Release-candidate API and safe synthetic tokens/IDs are available.</t>
        </is>
      </c>
      <c r="J192" s="4" t="inlineStr">
        <is>
          <t>Use only named synthetic records from the Test Data Plan; capture generated IDs and baseline values in evidence. Never use real credentials, customer PII or secrets.</t>
        </is>
      </c>
      <c r="K192" s="4" t="inlineStr">
        <is>
          <t>Authenticated role / Anonymous</t>
        </is>
      </c>
      <c r="L192" s="4" t="inlineStr">
        <is>
          <t>Isolated QA or staging; never production unless the approved smoke step explicitly says so</t>
        </is>
      </c>
      <c r="M192" s="4" t="inlineStr">
        <is>
          <t>1. Sign in as Authenticated role / Anonymous, or remain anonymous when the case requires it.
2. Record relevant UI, API and database baseline identifiers, statuses, counts and balances.
3. Use the documented page/API to verify that unauthenticated request returns 401.
4. Refresh or repeat through an independent client where concurrency, polling or idempotency applies.
5. Compare the outcome, scope, audit fields and side effects with the expected result; capture evidence.</t>
        </is>
      </c>
      <c r="N192" s="4" t="inlineStr">
        <is>
          <t>The release candidate demonstrates the specified behavior exactly and only within the actor's authorized scope: Unauthenticated request returns 401. No unrelated record changes.</t>
        </is>
      </c>
      <c r="O192" s="4" t="inlineStr">
        <is>
          <t>Reverse only synthetic changes through supported UI/API, or restore the approved isolated snapshot; confirm no residual locks, sessions, occupied tables or stock deltas.</t>
        </is>
      </c>
      <c r="P192" s="4" t="inlineStr">
        <is>
          <t>Yes</t>
        </is>
      </c>
      <c r="Q192" s="4" t="inlineStr">
        <is>
          <t>Timestamped screenshots for UI; request/response with secrets redacted for API; query IDs/counts/balances for transactions; export/build artifact or monitoring trace where applicable.</t>
        </is>
      </c>
      <c r="R192" s="4" t="inlineStr">
        <is>
          <t>Planned / Not Yet Executed</t>
        </is>
      </c>
      <c r="S192" s="4" t="inlineStr"/>
      <c r="T192" s="4" t="inlineStr"/>
      <c r="U192" s="4" t="inlineStr"/>
      <c r="V192" s="4" t="inlineStr"/>
      <c r="W192" s="4" t="inlineStr"/>
      <c r="X192" s="4" t="inlineStr"/>
    </row>
    <row r="193" ht="72" customHeight="1">
      <c r="A193" s="4" t="inlineStr">
        <is>
          <t>API-006</t>
        </is>
      </c>
      <c r="B193" s="4" t="inlineStr">
        <is>
          <t>API Contract</t>
        </is>
      </c>
      <c r="C193" s="4" t="inlineStr">
        <is>
          <t>FR-A02, NFR-05</t>
        </is>
      </c>
      <c r="D193" s="4" t="inlineStr">
        <is>
          <t>Authenticated forbidden request returns 403 or scope-safe 404</t>
        </is>
      </c>
      <c r="E193" s="4" t="inlineStr">
        <is>
          <t>Verify, without assuming a pass result, that the release candidate correctly enforces: Authenticated forbidden request returns 403 or scope-safe 404.</t>
        </is>
      </c>
      <c r="F193" s="4" t="inlineStr">
        <is>
          <t>Authorization</t>
        </is>
      </c>
      <c r="G193" s="4" t="inlineStr">
        <is>
          <t>High</t>
        </is>
      </c>
      <c r="H193" s="4" t="inlineStr">
        <is>
          <t>High</t>
        </is>
      </c>
      <c r="I193" s="4" t="inlineStr">
        <is>
          <t>Release-candidate API and safe synthetic tokens/IDs are available.</t>
        </is>
      </c>
      <c r="J193" s="4" t="inlineStr">
        <is>
          <t>Use only named synthetic records from the Test Data Plan; capture generated IDs and baseline values in evidence. Never use real credentials, customer PII or secrets.</t>
        </is>
      </c>
      <c r="K193" s="4" t="inlineStr">
        <is>
          <t>Authenticated role / Anonymous</t>
        </is>
      </c>
      <c r="L193" s="4" t="inlineStr">
        <is>
          <t>Isolated QA or staging; never production unless the approved smoke step explicitly says so</t>
        </is>
      </c>
      <c r="M193" s="4" t="inlineStr">
        <is>
          <t>1. Sign in as Authenticated role / Anonymous, or remain anonymous when the case requires it.
2. Record relevant UI, API and database baseline identifiers, statuses, counts and balances.
3. Use the documented page/API to verify that authenticated forbidden request returns 403 or scope-safe 404.
4. Refresh or repeat through an independent client where concurrency, polling or idempotency applies.
5. Compare the outcome, scope, audit fields and side effects with the expected result; capture evidence.</t>
        </is>
      </c>
      <c r="N193" s="4" t="inlineStr">
        <is>
          <t>The release candidate demonstrates the specified behavior exactly and only within the actor's authorized scope: Authenticated forbidden request returns 403 or scope-safe 404. No unrelated record changes.</t>
        </is>
      </c>
      <c r="O193" s="4" t="inlineStr">
        <is>
          <t>Reverse only synthetic changes through supported UI/API, or restore the approved isolated snapshot; confirm no residual locks, sessions, occupied tables or stock deltas.</t>
        </is>
      </c>
      <c r="P193" s="4" t="inlineStr">
        <is>
          <t>Yes</t>
        </is>
      </c>
      <c r="Q193" s="4" t="inlineStr">
        <is>
          <t>Timestamped screenshots for UI; request/response with secrets redacted for API; query IDs/counts/balances for transactions; export/build artifact or monitoring trace where applicable.</t>
        </is>
      </c>
      <c r="R193" s="4" t="inlineStr">
        <is>
          <t>Planned / Not Yet Executed</t>
        </is>
      </c>
      <c r="S193" s="4" t="inlineStr"/>
      <c r="T193" s="4" t="inlineStr"/>
      <c r="U193" s="4" t="inlineStr"/>
      <c r="V193" s="4" t="inlineStr"/>
      <c r="W193" s="4" t="inlineStr"/>
      <c r="X193" s="4" t="inlineStr"/>
    </row>
    <row r="194" ht="72" customHeight="1">
      <c r="A194" s="4" t="inlineStr">
        <is>
          <t>API-007</t>
        </is>
      </c>
      <c r="B194" s="4" t="inlineStr">
        <is>
          <t>API Contract</t>
        </is>
      </c>
      <c r="C194" s="4" t="inlineStr">
        <is>
          <t>FR-A02, NFR-05</t>
        </is>
      </c>
      <c r="D194" s="4" t="inlineStr">
        <is>
          <t>Missing resource returns 404</t>
        </is>
      </c>
      <c r="E194" s="4" t="inlineStr">
        <is>
          <t>Verify, without assuming a pass result, that the release candidate correctly enforces: Missing resource returns 404.</t>
        </is>
      </c>
      <c r="F194" s="4" t="inlineStr">
        <is>
          <t>Negative</t>
        </is>
      </c>
      <c r="G194" s="4" t="inlineStr">
        <is>
          <t>Medium</t>
        </is>
      </c>
      <c r="H194" s="4" t="inlineStr">
        <is>
          <t>Medium</t>
        </is>
      </c>
      <c r="I194" s="4" t="inlineStr">
        <is>
          <t>Release-candidate API and safe synthetic tokens/IDs are available.</t>
        </is>
      </c>
      <c r="J194" s="4" t="inlineStr">
        <is>
          <t>Use only named synthetic records from the Test Data Plan; capture generated IDs and baseline values in evidence. Never use real credentials, customer PII or secrets.</t>
        </is>
      </c>
      <c r="K194" s="4" t="inlineStr">
        <is>
          <t>Authenticated role / Anonymous</t>
        </is>
      </c>
      <c r="L194" s="4" t="inlineStr">
        <is>
          <t>Isolated QA or staging; never production unless the approved smoke step explicitly says so</t>
        </is>
      </c>
      <c r="M194" s="4" t="inlineStr">
        <is>
          <t>1. Sign in as Authenticated role / Anonymous, or remain anonymous when the case requires it.
2. Record relevant UI, API and database baseline identifiers, statuses, counts and balances.
3. Use the documented page/API to verify that missing resource returns 404.
4. Refresh or repeat through an independent client where concurrency, polling or idempotency applies.
5. Compare the outcome, scope, audit fields and side effects with the expected result; capture evidence.</t>
        </is>
      </c>
      <c r="N194" s="4" t="inlineStr">
        <is>
          <t>The release candidate demonstrates the specified behavior exactly and only within the actor's authorized scope: Missing resource returns 404. No unrelated record changes.</t>
        </is>
      </c>
      <c r="O194" s="4" t="inlineStr">
        <is>
          <t>Reverse only synthetic changes through supported UI/API, or restore the approved isolated snapshot; confirm no residual locks, sessions, occupied tables or stock deltas.</t>
        </is>
      </c>
      <c r="P194" s="4" t="inlineStr">
        <is>
          <t>Yes</t>
        </is>
      </c>
      <c r="Q194" s="4" t="inlineStr">
        <is>
          <t>Timestamped screenshots for UI; request/response with secrets redacted for API; query IDs/counts/balances for transactions; export/build artifact or monitoring trace where applicable.</t>
        </is>
      </c>
      <c r="R194" s="4" t="inlineStr">
        <is>
          <t>Planned / Not Yet Executed</t>
        </is>
      </c>
      <c r="S194" s="4" t="inlineStr"/>
      <c r="T194" s="4" t="inlineStr"/>
      <c r="U194" s="4" t="inlineStr"/>
      <c r="V194" s="4" t="inlineStr"/>
      <c r="W194" s="4" t="inlineStr"/>
      <c r="X194" s="4" t="inlineStr"/>
    </row>
    <row r="195" ht="72" customHeight="1">
      <c r="A195" s="4" t="inlineStr">
        <is>
          <t>API-008</t>
        </is>
      </c>
      <c r="B195" s="4" t="inlineStr">
        <is>
          <t>API Contract</t>
        </is>
      </c>
      <c r="C195" s="4" t="inlineStr">
        <is>
          <t>FR-A02, NFR-05</t>
        </is>
      </c>
      <c r="D195" s="4" t="inlineStr">
        <is>
          <t>Conflict and duplicate operation return 409 or documented safe status</t>
        </is>
      </c>
      <c r="E195" s="4" t="inlineStr">
        <is>
          <t>Verify, without assuming a pass result, that the release candidate correctly enforces: Conflict and duplicate operation return 409 or documented safe status.</t>
        </is>
      </c>
      <c r="F195" s="4" t="inlineStr">
        <is>
          <t>Recovery</t>
        </is>
      </c>
      <c r="G195" s="4" t="inlineStr">
        <is>
          <t>High</t>
        </is>
      </c>
      <c r="H195" s="4" t="inlineStr">
        <is>
          <t>High</t>
        </is>
      </c>
      <c r="I195" s="4" t="inlineStr">
        <is>
          <t>Release-candidate API and safe synthetic tokens/IDs are available.</t>
        </is>
      </c>
      <c r="J195" s="4" t="inlineStr">
        <is>
          <t>Use only named synthetic records from the Test Data Plan; capture generated IDs and baseline values in evidence. Never use real credentials, customer PII or secrets.</t>
        </is>
      </c>
      <c r="K195" s="4" t="inlineStr">
        <is>
          <t>Authenticated role / Anonymous</t>
        </is>
      </c>
      <c r="L195" s="4" t="inlineStr">
        <is>
          <t>Isolated QA or staging; never production unless the approved smoke step explicitly says so</t>
        </is>
      </c>
      <c r="M195" s="4" t="inlineStr">
        <is>
          <t>1. Sign in as Authenticated role / Anonymous, or remain anonymous when the case requires it.
2. Record relevant UI, API and database baseline identifiers, statuses, counts and balances.
3. Use the documented page/API to verify that conflict and duplicate operation return 409 or documented safe status.
4. Refresh or repeat through an independent client where concurrency, polling or idempotency applies.
5. Compare the outcome, scope, audit fields and side effects with the expected result; capture evidence.</t>
        </is>
      </c>
      <c r="N195" s="4" t="inlineStr">
        <is>
          <t>The release candidate demonstrates the specified behavior exactly and only within the actor's authorized scope: Conflict and duplicate operation return 409 or documented safe status. No unrelated record changes.</t>
        </is>
      </c>
      <c r="O195" s="4" t="inlineStr">
        <is>
          <t>Reverse only synthetic changes through supported UI/API, or restore the approved isolated snapshot; confirm no residual locks, sessions, occupied tables or stock deltas.</t>
        </is>
      </c>
      <c r="P195" s="4" t="inlineStr">
        <is>
          <t>Yes</t>
        </is>
      </c>
      <c r="Q195" s="4" t="inlineStr">
        <is>
          <t>Timestamped screenshots for UI; request/response with secrets redacted for API; query IDs/counts/balances for transactions; export/build artifact or monitoring trace where applicable.</t>
        </is>
      </c>
      <c r="R195" s="4" t="inlineStr">
        <is>
          <t>Planned / Not Yet Executed</t>
        </is>
      </c>
      <c r="S195" s="4" t="inlineStr"/>
      <c r="T195" s="4" t="inlineStr"/>
      <c r="U195" s="4" t="inlineStr"/>
      <c r="V195" s="4" t="inlineStr"/>
      <c r="W195" s="4" t="inlineStr"/>
      <c r="X195" s="4" t="inlineStr"/>
    </row>
    <row r="196" ht="72" customHeight="1">
      <c r="A196" s="4" t="inlineStr">
        <is>
          <t>API-009</t>
        </is>
      </c>
      <c r="B196" s="4" t="inlineStr">
        <is>
          <t>API Contract</t>
        </is>
      </c>
      <c r="C196" s="4" t="inlineStr">
        <is>
          <t>FR-A02, NFR-05</t>
        </is>
      </c>
      <c r="D196" s="4" t="inlineStr">
        <is>
          <t>Unexpected server failure returns safe 5xx without internals</t>
        </is>
      </c>
      <c r="E196" s="4" t="inlineStr">
        <is>
          <t>Verify, without assuming a pass result, that the release candidate correctly enforces: Unexpected server failure returns safe 5xx without internals.</t>
        </is>
      </c>
      <c r="F196" s="4" t="inlineStr">
        <is>
          <t>Negative</t>
        </is>
      </c>
      <c r="G196" s="4" t="inlineStr">
        <is>
          <t>Medium</t>
        </is>
      </c>
      <c r="H196" s="4" t="inlineStr">
        <is>
          <t>Medium</t>
        </is>
      </c>
      <c r="I196" s="4" t="inlineStr">
        <is>
          <t>Release-candidate API and safe synthetic tokens/IDs are available.</t>
        </is>
      </c>
      <c r="J196" s="4" t="inlineStr">
        <is>
          <t>Use only named synthetic records from the Test Data Plan; capture generated IDs and baseline values in evidence. Never use real credentials, customer PII or secrets.</t>
        </is>
      </c>
      <c r="K196" s="4" t="inlineStr">
        <is>
          <t>Authenticated role / Anonymous</t>
        </is>
      </c>
      <c r="L196" s="4" t="inlineStr">
        <is>
          <t>Isolated QA or staging; never production unless the approved smoke step explicitly says so</t>
        </is>
      </c>
      <c r="M196" s="4" t="inlineStr">
        <is>
          <t>1. Sign in as Authenticated role / Anonymous, or remain anonymous when the case requires it.
2. Record relevant UI, API and database baseline identifiers, statuses, counts and balances.
3. Use the documented page/API to verify that unexpected server failure returns safe 5xx without internals.
4. Refresh or repeat through an independent client where concurrency, polling or idempotency applies.
5. Compare the outcome, scope, audit fields and side effects with the expected result; capture evidence.</t>
        </is>
      </c>
      <c r="N196" s="4" t="inlineStr">
        <is>
          <t>The operation is refused with a stable, safe error; no unauthorized or partial mutation occurs. Specifically: Unexpected server failure returns safe 5xx without internals.</t>
        </is>
      </c>
      <c r="O196" s="4" t="inlineStr">
        <is>
          <t>Reverse only synthetic changes through supported UI/API, or restore the approved isolated snapshot; confirm no residual locks, sessions, occupied tables or stock deltas.</t>
        </is>
      </c>
      <c r="P196" s="4" t="inlineStr">
        <is>
          <t>Yes</t>
        </is>
      </c>
      <c r="Q196" s="4" t="inlineStr">
        <is>
          <t>Timestamped screenshots for UI; request/response with secrets redacted for API; query IDs/counts/balances for transactions; export/build artifact or monitoring trace where applicable.</t>
        </is>
      </c>
      <c r="R196" s="4" t="inlineStr">
        <is>
          <t>Planned / Not Yet Executed</t>
        </is>
      </c>
      <c r="S196" s="4" t="inlineStr"/>
      <c r="T196" s="4" t="inlineStr"/>
      <c r="U196" s="4" t="inlineStr"/>
      <c r="V196" s="4" t="inlineStr"/>
      <c r="W196" s="4" t="inlineStr"/>
      <c r="X196" s="4" t="inlineStr"/>
    </row>
    <row r="197" ht="72" customHeight="1">
      <c r="A197" s="4" t="inlineStr">
        <is>
          <t>API-010</t>
        </is>
      </c>
      <c r="B197" s="4" t="inlineStr">
        <is>
          <t>API Contract</t>
        </is>
      </c>
      <c r="C197" s="4" t="inlineStr">
        <is>
          <t>FR-A02, NFR-05</t>
        </is>
      </c>
      <c r="D197" s="4" t="inlineStr">
        <is>
          <t>Unknown and disallowed sensitive fields are rejected</t>
        </is>
      </c>
      <c r="E197" s="4" t="inlineStr">
        <is>
          <t>Verify, without assuming a pass result, that the release candidate correctly enforces: Unknown and disallowed sensitive fields are rejected.</t>
        </is>
      </c>
      <c r="F197" s="4" t="inlineStr">
        <is>
          <t>Negative</t>
        </is>
      </c>
      <c r="G197" s="4" t="inlineStr">
        <is>
          <t>Medium</t>
        </is>
      </c>
      <c r="H197" s="4" t="inlineStr">
        <is>
          <t>Medium</t>
        </is>
      </c>
      <c r="I197" s="4" t="inlineStr">
        <is>
          <t>Release-candidate API and safe synthetic tokens/IDs are available.</t>
        </is>
      </c>
      <c r="J197" s="4" t="inlineStr">
        <is>
          <t>Use only named synthetic records from the Test Data Plan; capture generated IDs and baseline values in evidence. Never use real credentials, customer PII or secrets.</t>
        </is>
      </c>
      <c r="K197" s="4" t="inlineStr">
        <is>
          <t>Authenticated role / Anonymous</t>
        </is>
      </c>
      <c r="L197" s="4" t="inlineStr">
        <is>
          <t>Isolated QA or staging; never production unless the approved smoke step explicitly says so</t>
        </is>
      </c>
      <c r="M197" s="4" t="inlineStr">
        <is>
          <t>1. Sign in as Authenticated role / Anonymous, or remain anonymous when the case requires it.
2. Record relevant UI, API and database baseline identifiers, statuses, counts and balances.
3. Use the documented page/API to verify that unknown and disallowed sensitive fields are rejected.
4. Refresh or repeat through an independent client where concurrency, polling or idempotency applies.
5. Compare the outcome, scope, audit fields and side effects with the expected result; capture evidence.</t>
        </is>
      </c>
      <c r="N197" s="4" t="inlineStr">
        <is>
          <t>The operation is refused with a stable, safe error; no unauthorized or partial mutation occurs. Specifically: Unknown and disallowed sensitive fields are rejected.</t>
        </is>
      </c>
      <c r="O197" s="4" t="inlineStr">
        <is>
          <t>Reverse only synthetic changes through supported UI/API, or restore the approved isolated snapshot; confirm no residual locks, sessions, occupied tables or stock deltas.</t>
        </is>
      </c>
      <c r="P197" s="4" t="inlineStr">
        <is>
          <t>Yes</t>
        </is>
      </c>
      <c r="Q197" s="4" t="inlineStr">
        <is>
          <t>Timestamped screenshots for UI; request/response with secrets redacted for API; query IDs/counts/balances for transactions; export/build artifact or monitoring trace where applicable.</t>
        </is>
      </c>
      <c r="R197" s="4" t="inlineStr">
        <is>
          <t>Planned / Not Yet Executed</t>
        </is>
      </c>
      <c r="S197" s="4" t="inlineStr"/>
      <c r="T197" s="4" t="inlineStr"/>
      <c r="U197" s="4" t="inlineStr"/>
      <c r="V197" s="4" t="inlineStr"/>
      <c r="W197" s="4" t="inlineStr"/>
      <c r="X197" s="4" t="inlineStr"/>
    </row>
    <row r="198" ht="72" customHeight="1">
      <c r="A198" s="4" t="inlineStr">
        <is>
          <t>DB-001</t>
        </is>
      </c>
      <c r="B198" s="4" t="inlineStr">
        <is>
          <t>Database Integrity</t>
        </is>
      </c>
      <c r="C198" s="4" t="inlineStr">
        <is>
          <t>NFR-08, NFR-09, NFR-10</t>
        </is>
      </c>
      <c r="D198" s="4" t="inlineStr">
        <is>
          <t>Foreign keys prevent orphan order payment and inventory records</t>
        </is>
      </c>
      <c r="E198" s="4" t="inlineStr">
        <is>
          <t>Verify, without assuming a pass result, that the release candidate correctly enforces: Foreign keys prevent orphan order payment and inventory records.</t>
        </is>
      </c>
      <c r="F198" s="4" t="inlineStr">
        <is>
          <t>Positive</t>
        </is>
      </c>
      <c r="G198" s="4" t="inlineStr">
        <is>
          <t>Critical</t>
        </is>
      </c>
      <c r="H198" s="4" t="inlineStr">
        <is>
          <t>Critical</t>
        </is>
      </c>
      <c r="I198" s="4" t="inlineStr">
        <is>
          <t>Isolated QA database permits read-only evidence queries and controlled transaction tests.</t>
        </is>
      </c>
      <c r="J198" s="4" t="inlineStr">
        <is>
          <t>Use only named synthetic records from the Test Data Plan; capture generated IDs and baseline values in evidence. Never use real credentials, customer PII or secrets.</t>
        </is>
      </c>
      <c r="K198" s="4" t="inlineStr">
        <is>
          <t>QA data reviewer</t>
        </is>
      </c>
      <c r="L198" s="4" t="inlineStr">
        <is>
          <t>Restaurant A / Branch A1 unless the case explicitly tests another scope</t>
        </is>
      </c>
      <c r="M198" s="4" t="inlineStr">
        <is>
          <t>1. Sign in as QA data reviewer, or remain anonymous when the case requires it.
2. Record relevant UI, API and database baseline identifiers, statuses, counts and balances.
3. Use the documented page/API to verify that foreign keys prevent orphan order payment and inventory records.
4. Refresh or repeat through an independent client where concurrency, polling or idempotency applies.
5. Compare the outcome, scope, audit fields and side effects with the expected result; capture evidence.</t>
        </is>
      </c>
      <c r="N198" s="4" t="inlineStr">
        <is>
          <t>The release candidate demonstrates the specified behavior exactly and only within the actor's authorized scope: Foreign keys prevent orphan order payment and inventory records. No unrelated record changes.</t>
        </is>
      </c>
      <c r="O198" s="4" t="inlineStr">
        <is>
          <t>Reverse only synthetic changes through supported UI/API, or restore the approved isolated snapshot; confirm no residual locks, sessions, occupied tables or stock deltas.</t>
        </is>
      </c>
      <c r="P198" s="4" t="inlineStr">
        <is>
          <t>Yes</t>
        </is>
      </c>
      <c r="Q198" s="4" t="inlineStr">
        <is>
          <t>Timestamped screenshots for UI; request/response with secrets redacted for API; query IDs/counts/balances for transactions; export/build artifact or monitoring trace where applicable.</t>
        </is>
      </c>
      <c r="R198" s="4" t="inlineStr">
        <is>
          <t>Planned / Not Yet Executed</t>
        </is>
      </c>
      <c r="S198" s="4" t="inlineStr"/>
      <c r="T198" s="4" t="inlineStr"/>
      <c r="U198" s="4" t="inlineStr"/>
      <c r="V198" s="4" t="inlineStr"/>
      <c r="W198" s="4" t="inlineStr"/>
      <c r="X198" s="4" t="inlineStr"/>
    </row>
    <row r="199" ht="72" customHeight="1">
      <c r="A199" s="4" t="inlineStr">
        <is>
          <t>DB-002</t>
        </is>
      </c>
      <c r="B199" s="4" t="inlineStr">
        <is>
          <t>Database Integrity</t>
        </is>
      </c>
      <c r="C199" s="4" t="inlineStr">
        <is>
          <t>NFR-08, NFR-09, NFR-10</t>
        </is>
      </c>
      <c r="D199" s="4" t="inlineStr">
        <is>
          <t>Unique email and business identifiers are enforced</t>
        </is>
      </c>
      <c r="E199" s="4" t="inlineStr">
        <is>
          <t>Verify, without assuming a pass result, that the release candidate correctly enforces: Unique email and business identifiers are enforced.</t>
        </is>
      </c>
      <c r="F199" s="4" t="inlineStr">
        <is>
          <t>Positive</t>
        </is>
      </c>
      <c r="G199" s="4" t="inlineStr">
        <is>
          <t>Medium</t>
        </is>
      </c>
      <c r="H199" s="4" t="inlineStr">
        <is>
          <t>Medium</t>
        </is>
      </c>
      <c r="I199" s="4" t="inlineStr">
        <is>
          <t>Isolated QA database permits read-only evidence queries and controlled transaction tests.</t>
        </is>
      </c>
      <c r="J199" s="4" t="inlineStr">
        <is>
          <t>Use only named synthetic records from the Test Data Plan; capture generated IDs and baseline values in evidence. Never use real credentials, customer PII or secrets.</t>
        </is>
      </c>
      <c r="K199" s="4" t="inlineStr">
        <is>
          <t>QA data reviewer</t>
        </is>
      </c>
      <c r="L199" s="4" t="inlineStr">
        <is>
          <t>Restaurant A / Branch A1 unless the case explicitly tests another scope</t>
        </is>
      </c>
      <c r="M199" s="4" t="inlineStr">
        <is>
          <t>1. Sign in as QA data reviewer, or remain anonymous when the case requires it.
2. Record relevant UI, API and database baseline identifiers, statuses, counts and balances.
3. Use the documented page/API to verify that unique email and business identifiers are enforced.
4. Refresh or repeat through an independent client where concurrency, polling or idempotency applies.
5. Compare the outcome, scope, audit fields and side effects with the expected result; capture evidence.</t>
        </is>
      </c>
      <c r="N199" s="4" t="inlineStr">
        <is>
          <t>The release candidate demonstrates the specified behavior exactly and only within the actor's authorized scope: Unique email and business identifiers are enforced. No unrelated record changes.</t>
        </is>
      </c>
      <c r="O199" s="4" t="inlineStr">
        <is>
          <t>Reverse only synthetic changes through supported UI/API, or restore the approved isolated snapshot; confirm no residual locks, sessions, occupied tables or stock deltas.</t>
        </is>
      </c>
      <c r="P199" s="4" t="inlineStr">
        <is>
          <t>Yes</t>
        </is>
      </c>
      <c r="Q199" s="4" t="inlineStr">
        <is>
          <t>Timestamped screenshots for UI; request/response with secrets redacted for API; query IDs/counts/balances for transactions; export/build artifact or monitoring trace where applicable.</t>
        </is>
      </c>
      <c r="R199" s="4" t="inlineStr">
        <is>
          <t>Planned / Not Yet Executed</t>
        </is>
      </c>
      <c r="S199" s="4" t="inlineStr"/>
      <c r="T199" s="4" t="inlineStr"/>
      <c r="U199" s="4" t="inlineStr"/>
      <c r="V199" s="4" t="inlineStr"/>
      <c r="W199" s="4" t="inlineStr"/>
      <c r="X199" s="4" t="inlineStr"/>
    </row>
    <row r="200" ht="72" customHeight="1">
      <c r="A200" s="4" t="inlineStr">
        <is>
          <t>DB-003</t>
        </is>
      </c>
      <c r="B200" s="4" t="inlineStr">
        <is>
          <t>Database Integrity</t>
        </is>
      </c>
      <c r="C200" s="4" t="inlineStr">
        <is>
          <t>NFR-08, NFR-09, NFR-10</t>
        </is>
      </c>
      <c r="D200" s="4" t="inlineStr">
        <is>
          <t>Money precision preserves exact ETB arithmetic</t>
        </is>
      </c>
      <c r="E200" s="4" t="inlineStr">
        <is>
          <t>Verify, without assuming a pass result, that the release candidate correctly enforces: Money precision preserves exact ETB arithmetic.</t>
        </is>
      </c>
      <c r="F200" s="4" t="inlineStr">
        <is>
          <t>Boundary</t>
        </is>
      </c>
      <c r="G200" s="4" t="inlineStr">
        <is>
          <t>Medium</t>
        </is>
      </c>
      <c r="H200" s="4" t="inlineStr">
        <is>
          <t>Medium</t>
        </is>
      </c>
      <c r="I200" s="4" t="inlineStr">
        <is>
          <t>Isolated QA database permits read-only evidence queries and controlled transaction tests.</t>
        </is>
      </c>
      <c r="J200" s="4" t="inlineStr">
        <is>
          <t>Use only named synthetic records from the Test Data Plan; capture generated IDs and baseline values in evidence. Never use real credentials, customer PII or secrets.</t>
        </is>
      </c>
      <c r="K200" s="4" t="inlineStr">
        <is>
          <t>QA data reviewer</t>
        </is>
      </c>
      <c r="L200" s="4" t="inlineStr">
        <is>
          <t>Restaurant A / Branch A1 unless the case explicitly tests another scope</t>
        </is>
      </c>
      <c r="M200" s="4" t="inlineStr">
        <is>
          <t>1. Sign in as QA data reviewer, or remain anonymous when the case requires it.
2. Record relevant UI, API and database baseline identifiers, statuses, counts and balances.
3. Use the documented page/API to verify that money precision preserves exact ETB arithmetic.
4. Refresh or repeat through an independent client where concurrency, polling or idempotency applies.
5. Compare the outcome, scope, audit fields and side effects with the expected result; capture evidence.</t>
        </is>
      </c>
      <c r="N200" s="4" t="inlineStr">
        <is>
          <t>The release candidate demonstrates the specified behavior exactly and only within the actor's authorized scope: Money precision preserves exact ETB arithmetic. No unrelated record changes.</t>
        </is>
      </c>
      <c r="O200" s="4" t="inlineStr">
        <is>
          <t>Reverse only synthetic changes through supported UI/API, or restore the approved isolated snapshot; confirm no residual locks, sessions, occupied tables or stock deltas.</t>
        </is>
      </c>
      <c r="P200" s="4" t="inlineStr">
        <is>
          <t>Yes</t>
        </is>
      </c>
      <c r="Q200" s="4" t="inlineStr">
        <is>
          <t>Timestamped screenshots for UI; request/response with secrets redacted for API; query IDs/counts/balances for transactions; export/build artifact or monitoring trace where applicable.</t>
        </is>
      </c>
      <c r="R200" s="4" t="inlineStr">
        <is>
          <t>Planned / Not Yet Executed</t>
        </is>
      </c>
      <c r="S200" s="4" t="inlineStr"/>
      <c r="T200" s="4" t="inlineStr"/>
      <c r="U200" s="4" t="inlineStr"/>
      <c r="V200" s="4" t="inlineStr"/>
      <c r="W200" s="4" t="inlineStr"/>
      <c r="X200" s="4" t="inlineStr"/>
    </row>
    <row r="201" ht="72" customHeight="1">
      <c r="A201" s="4" t="inlineStr">
        <is>
          <t>DB-004</t>
        </is>
      </c>
      <c r="B201" s="4" t="inlineStr">
        <is>
          <t>Database Integrity</t>
        </is>
      </c>
      <c r="C201" s="4" t="inlineStr">
        <is>
          <t>NFR-08, NFR-09, NFR-10</t>
        </is>
      </c>
      <c r="D201" s="4" t="inlineStr">
        <is>
          <t>Invalid persisted status transition is prevented</t>
        </is>
      </c>
      <c r="E201" s="4" t="inlineStr">
        <is>
          <t>Verify, without assuming a pass result, that the release candidate correctly enforces: Invalid persisted status transition is prevented.</t>
        </is>
      </c>
      <c r="F201" s="4" t="inlineStr">
        <is>
          <t>Negative</t>
        </is>
      </c>
      <c r="G201" s="4" t="inlineStr">
        <is>
          <t>Medium</t>
        </is>
      </c>
      <c r="H201" s="4" t="inlineStr">
        <is>
          <t>Medium</t>
        </is>
      </c>
      <c r="I201" s="4" t="inlineStr">
        <is>
          <t>Isolated QA database permits read-only evidence queries and controlled transaction tests.</t>
        </is>
      </c>
      <c r="J201" s="4" t="inlineStr">
        <is>
          <t>Use only named synthetic records from the Test Data Plan; capture generated IDs and baseline values in evidence. Never use real credentials, customer PII or secrets.</t>
        </is>
      </c>
      <c r="K201" s="4" t="inlineStr">
        <is>
          <t>QA data reviewer</t>
        </is>
      </c>
      <c r="L201" s="4" t="inlineStr">
        <is>
          <t>Restaurant A / Branch A1 unless the case explicitly tests another scope</t>
        </is>
      </c>
      <c r="M201" s="4" t="inlineStr">
        <is>
          <t>1. Sign in as QA data reviewer, or remain anonymous when the case requires it.
2. Record relevant UI, API and database baseline identifiers, statuses, counts and balances.
3. Use the documented page/API to verify that invalid persisted status transition is prevented.
4. Refresh or repeat through an independent client where concurrency, polling or idempotency applies.
5. Compare the outcome, scope, audit fields and side effects with the expected result; capture evidence.</t>
        </is>
      </c>
      <c r="N201" s="4" t="inlineStr">
        <is>
          <t>The release candidate demonstrates the specified behavior exactly and only within the actor's authorized scope: Invalid persisted status transition is prevented. No unrelated record changes.</t>
        </is>
      </c>
      <c r="O201" s="4" t="inlineStr">
        <is>
          <t>Reverse only synthetic changes through supported UI/API, or restore the approved isolated snapshot; confirm no residual locks, sessions, occupied tables or stock deltas.</t>
        </is>
      </c>
      <c r="P201" s="4" t="inlineStr">
        <is>
          <t>Yes</t>
        </is>
      </c>
      <c r="Q201" s="4" t="inlineStr">
        <is>
          <t>Timestamped screenshots for UI; request/response with secrets redacted for API; query IDs/counts/balances for transactions; export/build artifact or monitoring trace where applicable.</t>
        </is>
      </c>
      <c r="R201" s="4" t="inlineStr">
        <is>
          <t>Planned / Not Yet Executed</t>
        </is>
      </c>
      <c r="S201" s="4" t="inlineStr"/>
      <c r="T201" s="4" t="inlineStr"/>
      <c r="U201" s="4" t="inlineStr"/>
      <c r="V201" s="4" t="inlineStr"/>
      <c r="W201" s="4" t="inlineStr"/>
      <c r="X201" s="4" t="inlineStr"/>
    </row>
    <row r="202" ht="72" customHeight="1">
      <c r="A202" s="4" t="inlineStr">
        <is>
          <t>DB-005</t>
        </is>
      </c>
      <c r="B202" s="4" t="inlineStr">
        <is>
          <t>Database Integrity</t>
        </is>
      </c>
      <c r="C202" s="4" t="inlineStr">
        <is>
          <t>NFR-08, NFR-09, NFR-10</t>
        </is>
      </c>
      <c r="D202" s="4" t="inlineStr">
        <is>
          <t>Order payment and table writes commit or roll back together</t>
        </is>
      </c>
      <c r="E202" s="4" t="inlineStr">
        <is>
          <t>Verify, without assuming a pass result, that the release candidate correctly enforces: Order payment and table writes commit or roll back together.</t>
        </is>
      </c>
      <c r="F202" s="4" t="inlineStr">
        <is>
          <t>Positive</t>
        </is>
      </c>
      <c r="G202" s="4" t="inlineStr">
        <is>
          <t>Critical</t>
        </is>
      </c>
      <c r="H202" s="4" t="inlineStr">
        <is>
          <t>Critical</t>
        </is>
      </c>
      <c r="I202" s="4" t="inlineStr">
        <is>
          <t>Isolated QA database permits read-only evidence queries and controlled transaction tests.</t>
        </is>
      </c>
      <c r="J202" s="4" t="inlineStr">
        <is>
          <t>Use only named synthetic records from the Test Data Plan; capture generated IDs and baseline values in evidence. Never use real credentials, customer PII or secrets.</t>
        </is>
      </c>
      <c r="K202" s="4" t="inlineStr">
        <is>
          <t>QA data reviewer</t>
        </is>
      </c>
      <c r="L202" s="4" t="inlineStr">
        <is>
          <t>Restaurant A / Branch A1 unless the case explicitly tests another scope</t>
        </is>
      </c>
      <c r="M202" s="4" t="inlineStr">
        <is>
          <t>1. Sign in as QA data reviewer, or remain anonymous when the case requires it.
2. Record relevant UI, API and database baseline identifiers, statuses, counts and balances.
3. Use the documented page/API to verify that order payment and table writes commit or roll back together.
4. Refresh or repeat through an independent client where concurrency, polling or idempotency applies.
5. Compare the outcome, scope, audit fields and side effects with the expected result; capture evidence.</t>
        </is>
      </c>
      <c r="N202" s="4" t="inlineStr">
        <is>
          <t>The release candidate demonstrates the specified behavior exactly and only within the actor's authorized scope: Order payment and table writes commit or roll back together. No unrelated record changes.</t>
        </is>
      </c>
      <c r="O202" s="4" t="inlineStr">
        <is>
          <t>Reverse only synthetic changes through supported UI/API, or restore the approved isolated snapshot; confirm no residual locks, sessions, occupied tables or stock deltas.</t>
        </is>
      </c>
      <c r="P202" s="4" t="inlineStr">
        <is>
          <t>Yes</t>
        </is>
      </c>
      <c r="Q202" s="4" t="inlineStr">
        <is>
          <t>Timestamped screenshots for UI; request/response with secrets redacted for API; query IDs/counts/balances for transactions; export/build artifact or monitoring trace where applicable.</t>
        </is>
      </c>
      <c r="R202" s="4" t="inlineStr">
        <is>
          <t>Planned / Not Yet Executed</t>
        </is>
      </c>
      <c r="S202" s="4" t="inlineStr"/>
      <c r="T202" s="4" t="inlineStr"/>
      <c r="U202" s="4" t="inlineStr"/>
      <c r="V202" s="4" t="inlineStr"/>
      <c r="W202" s="4" t="inlineStr"/>
      <c r="X202" s="4" t="inlineStr"/>
    </row>
    <row r="203" ht="72" customHeight="1">
      <c r="A203" s="4" t="inlineStr">
        <is>
          <t>DB-006</t>
        </is>
      </c>
      <c r="B203" s="4" t="inlineStr">
        <is>
          <t>Database Integrity</t>
        </is>
      </c>
      <c r="C203" s="4" t="inlineStr">
        <is>
          <t>NFR-08, NFR-09, NFR-10</t>
        </is>
      </c>
      <c r="D203" s="4" t="inlineStr">
        <is>
          <t>Purchase approval receipt and stock writes are transactional</t>
        </is>
      </c>
      <c r="E203" s="4" t="inlineStr">
        <is>
          <t>Verify, without assuming a pass result, that the release candidate correctly enforces: Purchase approval receipt and stock writes are transactional.</t>
        </is>
      </c>
      <c r="F203" s="4" t="inlineStr">
        <is>
          <t>Positive</t>
        </is>
      </c>
      <c r="G203" s="4" t="inlineStr">
        <is>
          <t>High</t>
        </is>
      </c>
      <c r="H203" s="4" t="inlineStr">
        <is>
          <t>High</t>
        </is>
      </c>
      <c r="I203" s="4" t="inlineStr">
        <is>
          <t>Isolated QA database permits read-only evidence queries and controlled transaction tests.</t>
        </is>
      </c>
      <c r="J203" s="4" t="inlineStr">
        <is>
          <t>Use only named synthetic records from the Test Data Plan; capture generated IDs and baseline values in evidence. Never use real credentials, customer PII or secrets.</t>
        </is>
      </c>
      <c r="K203" s="4" t="inlineStr">
        <is>
          <t>QA data reviewer</t>
        </is>
      </c>
      <c r="L203" s="4" t="inlineStr">
        <is>
          <t>Restaurant A / Branch A1 unless the case explicitly tests another scope</t>
        </is>
      </c>
      <c r="M203" s="4" t="inlineStr">
        <is>
          <t>1. Sign in as QA data reviewer, or remain anonymous when the case requires it.
2. Record relevant UI, API and database baseline identifiers, statuses, counts and balances.
3. Use the documented page/API to verify that purchase approval receipt and stock writes are transactional.
4. Refresh or repeat through an independent client where concurrency, polling or idempotency applies.
5. Compare the outcome, scope, audit fields and side effects with the expected result; capture evidence.</t>
        </is>
      </c>
      <c r="N203" s="4" t="inlineStr">
        <is>
          <t>The release candidate demonstrates the specified behavior exactly and only within the actor's authorized scope: Purchase approval receipt and stock writes are transactional. No unrelated record changes.</t>
        </is>
      </c>
      <c r="O203" s="4" t="inlineStr">
        <is>
          <t>Reverse only synthetic changes through supported UI/API, or restore the approved isolated snapshot; confirm no residual locks, sessions, occupied tables or stock deltas.</t>
        </is>
      </c>
      <c r="P203" s="4" t="inlineStr">
        <is>
          <t>Yes</t>
        </is>
      </c>
      <c r="Q203" s="4" t="inlineStr">
        <is>
          <t>Timestamped screenshots for UI; request/response with secrets redacted for API; query IDs/counts/balances for transactions; export/build artifact or monitoring trace where applicable.</t>
        </is>
      </c>
      <c r="R203" s="4" t="inlineStr">
        <is>
          <t>Planned / Not Yet Executed</t>
        </is>
      </c>
      <c r="S203" s="4" t="inlineStr"/>
      <c r="T203" s="4" t="inlineStr"/>
      <c r="U203" s="4" t="inlineStr"/>
      <c r="V203" s="4" t="inlineStr"/>
      <c r="W203" s="4" t="inlineStr"/>
      <c r="X203" s="4" t="inlineStr"/>
    </row>
    <row r="204" ht="72" customHeight="1">
      <c r="A204" s="4" t="inlineStr">
        <is>
          <t>DB-007</t>
        </is>
      </c>
      <c r="B204" s="4" t="inlineStr">
        <is>
          <t>Database Integrity</t>
        </is>
      </c>
      <c r="C204" s="4" t="inlineStr">
        <is>
          <t>NFR-08, NFR-09, NFR-10</t>
        </is>
      </c>
      <c r="D204" s="4" t="inlineStr">
        <is>
          <t>Common branch date status user and table queries have reviewed indexes</t>
        </is>
      </c>
      <c r="E204" s="4" t="inlineStr">
        <is>
          <t>Verify, without assuming a pass result, that the release candidate correctly enforces: Common branch date status user and table queries have reviewed indexes.</t>
        </is>
      </c>
      <c r="F204" s="4" t="inlineStr">
        <is>
          <t>Positive</t>
        </is>
      </c>
      <c r="G204" s="4" t="inlineStr">
        <is>
          <t>Medium</t>
        </is>
      </c>
      <c r="H204" s="4" t="inlineStr">
        <is>
          <t>Medium</t>
        </is>
      </c>
      <c r="I204" s="4" t="inlineStr">
        <is>
          <t>Isolated QA database permits read-only evidence queries and controlled transaction tests.</t>
        </is>
      </c>
      <c r="J204" s="4" t="inlineStr">
        <is>
          <t>Use only named synthetic records from the Test Data Plan; capture generated IDs and baseline values in evidence. Never use real credentials, customer PII or secrets.</t>
        </is>
      </c>
      <c r="K204" s="4" t="inlineStr">
        <is>
          <t>QA data reviewer</t>
        </is>
      </c>
      <c r="L204" s="4" t="inlineStr">
        <is>
          <t>Restaurant A / Branch A1 unless the case explicitly tests another scope</t>
        </is>
      </c>
      <c r="M204" s="4" t="inlineStr">
        <is>
          <t>1. Sign in as QA data reviewer, or remain anonymous when the case requires it.
2. Record relevant UI, API and database baseline identifiers, statuses, counts and balances.
3. Use the documented page/API to verify that common branch date status user and table queries have reviewed indexes.
4. Refresh or repeat through an independent client where concurrency, polling or idempotency applies.
5. Compare the outcome, scope, audit fields and side effects with the expected result; capture evidence.</t>
        </is>
      </c>
      <c r="N204" s="4" t="inlineStr">
        <is>
          <t>The release candidate demonstrates the specified behavior exactly and only within the actor's authorized scope: Common branch date status user and table queries have reviewed indexes. No unrelated record changes.</t>
        </is>
      </c>
      <c r="O204" s="4" t="inlineStr">
        <is>
          <t>Reverse only synthetic changes through supported UI/API, or restore the approved isolated snapshot; confirm no residual locks, sessions, occupied tables or stock deltas.</t>
        </is>
      </c>
      <c r="P204" s="4" t="inlineStr">
        <is>
          <t>Yes</t>
        </is>
      </c>
      <c r="Q204" s="4" t="inlineStr">
        <is>
          <t>Timestamped screenshots for UI; request/response with secrets redacted for API; query IDs/counts/balances for transactions; export/build artifact or monitoring trace where applicable.</t>
        </is>
      </c>
      <c r="R204" s="4" t="inlineStr">
        <is>
          <t>Planned / Not Yet Executed</t>
        </is>
      </c>
      <c r="S204" s="4" t="inlineStr"/>
      <c r="T204" s="4" t="inlineStr"/>
      <c r="U204" s="4" t="inlineStr"/>
      <c r="V204" s="4" t="inlineStr"/>
      <c r="W204" s="4" t="inlineStr"/>
      <c r="X204" s="4" t="inlineStr"/>
    </row>
    <row r="205" ht="72" customHeight="1">
      <c r="A205" s="4" t="inlineStr">
        <is>
          <t>DB-008</t>
        </is>
      </c>
      <c r="B205" s="4" t="inlineStr">
        <is>
          <t>Database Integrity</t>
        </is>
      </c>
      <c r="C205" s="4" t="inlineStr">
        <is>
          <t>NFR-08, NFR-09, NFR-10</t>
        </is>
      </c>
      <c r="D205" s="4" t="inlineStr">
        <is>
          <t>Tenant identifiers remain consistent across related rows</t>
        </is>
      </c>
      <c r="E205" s="4" t="inlineStr">
        <is>
          <t>Verify, without assuming a pass result, that the release candidate correctly enforces: Tenant identifiers remain consistent across related rows.</t>
        </is>
      </c>
      <c r="F205" s="4" t="inlineStr">
        <is>
          <t>Positive</t>
        </is>
      </c>
      <c r="G205" s="4" t="inlineStr">
        <is>
          <t>Medium</t>
        </is>
      </c>
      <c r="H205" s="4" t="inlineStr">
        <is>
          <t>Medium</t>
        </is>
      </c>
      <c r="I205" s="4" t="inlineStr">
        <is>
          <t>Isolated QA database permits read-only evidence queries and controlled transaction tests.</t>
        </is>
      </c>
      <c r="J205" s="4" t="inlineStr">
        <is>
          <t>Use only named synthetic records from the Test Data Plan; capture generated IDs and baseline values in evidence. Never use real credentials, customer PII or secrets.</t>
        </is>
      </c>
      <c r="K205" s="4" t="inlineStr">
        <is>
          <t>QA data reviewer</t>
        </is>
      </c>
      <c r="L205" s="4" t="inlineStr">
        <is>
          <t>Restaurant A / Branch A1 unless the case explicitly tests another scope</t>
        </is>
      </c>
      <c r="M205" s="4" t="inlineStr">
        <is>
          <t>1. Sign in as QA data reviewer, or remain anonymous when the case requires it.
2. Record relevant UI, API and database baseline identifiers, statuses, counts and balances.
3. Use the documented page/API to verify that tenant identifiers remain consistent across related rows.
4. Refresh or repeat through an independent client where concurrency, polling or idempotency applies.
5. Compare the outcome, scope, audit fields and side effects with the expected result; capture evidence.</t>
        </is>
      </c>
      <c r="N205" s="4" t="inlineStr">
        <is>
          <t>The release candidate demonstrates the specified behavior exactly and only within the actor's authorized scope: Tenant identifiers remain consistent across related rows. No unrelated record changes.</t>
        </is>
      </c>
      <c r="O205" s="4" t="inlineStr">
        <is>
          <t>Reverse only synthetic changes through supported UI/API, or restore the approved isolated snapshot; confirm no residual locks, sessions, occupied tables or stock deltas.</t>
        </is>
      </c>
      <c r="P205" s="4" t="inlineStr">
        <is>
          <t>Yes</t>
        </is>
      </c>
      <c r="Q205" s="4" t="inlineStr">
        <is>
          <t>Timestamped screenshots for UI; request/response with secrets redacted for API; query IDs/counts/balances for transactions; export/build artifact or monitoring trace where applicable.</t>
        </is>
      </c>
      <c r="R205" s="4" t="inlineStr">
        <is>
          <t>Planned / Not Yet Executed</t>
        </is>
      </c>
      <c r="S205" s="4" t="inlineStr"/>
      <c r="T205" s="4" t="inlineStr"/>
      <c r="U205" s="4" t="inlineStr"/>
      <c r="V205" s="4" t="inlineStr"/>
      <c r="W205" s="4" t="inlineStr"/>
      <c r="X205" s="4" t="inlineStr"/>
    </row>
    <row r="206" ht="72" customHeight="1">
      <c r="A206" s="4" t="inlineStr">
        <is>
          <t>SEC-001</t>
        </is>
      </c>
      <c r="B206" s="4" t="inlineStr">
        <is>
          <t>Security &amp; Privacy</t>
        </is>
      </c>
      <c r="C206" s="4" t="inlineStr">
        <is>
          <t>FR-A02, FR-A04, NFR-03, NFR-10</t>
        </is>
      </c>
      <c r="D206" s="4" t="inlineStr">
        <is>
          <t>Passwords are bcrypt hashes and never returned</t>
        </is>
      </c>
      <c r="E206" s="4" t="inlineStr">
        <is>
          <t>Verify, without assuming a pass result, that the release candidate correctly enforces: Passwords are bcrypt hashes and never returned.</t>
        </is>
      </c>
      <c r="F206" s="4" t="inlineStr">
        <is>
          <t>Positive</t>
        </is>
      </c>
      <c r="G206" s="4" t="inlineStr">
        <is>
          <t>Critical</t>
        </is>
      </c>
      <c r="H206" s="4" t="inlineStr">
        <is>
          <t>Critical</t>
        </is>
      </c>
      <c r="I206" s="4" t="inlineStr">
        <is>
          <t>Written authorization exists for non-destructive QA security checks in an isolated environment.</t>
        </is>
      </c>
      <c r="J206" s="4" t="inlineStr">
        <is>
          <t>Use only named synthetic records from the Test Data Plan; capture generated IDs and baseline values in evidence. Never use real credentials, customer PII or secrets.</t>
        </is>
      </c>
      <c r="K206" s="4" t="inlineStr">
        <is>
          <t>Authorized security tester</t>
        </is>
      </c>
      <c r="L206" s="4" t="inlineStr">
        <is>
          <t>Isolated QA or staging; never production unless the approved smoke step explicitly says so</t>
        </is>
      </c>
      <c r="M206" s="4" t="inlineStr">
        <is>
          <t>1. Sign in as Authorized security tester, or remain anonymous when the case requires it.
2. Record relevant UI, API and database baseline identifiers, statuses, counts and balances.
3. Use the documented page/API to verify that passwords are bcrypt hashes and never returned.
4. Refresh or repeat through an independent client where concurrency, polling or idempotency applies.
5. Compare the outcome, scope, audit fields and side effects with the expected result; capture evidence.</t>
        </is>
      </c>
      <c r="N206" s="4" t="inlineStr">
        <is>
          <t>The release candidate demonstrates the specified behavior exactly and only within the actor's authorized scope: Passwords are bcrypt hashes and never returned. No unrelated record changes.</t>
        </is>
      </c>
      <c r="O206" s="4" t="inlineStr">
        <is>
          <t>Reverse only synthetic changes through supported UI/API, or restore the approved isolated snapshot; confirm no residual locks, sessions, occupied tables or stock deltas.</t>
        </is>
      </c>
      <c r="P206" s="4" t="inlineStr">
        <is>
          <t>Yes</t>
        </is>
      </c>
      <c r="Q206" s="4" t="inlineStr">
        <is>
          <t>Timestamped screenshots for UI; request/response with secrets redacted for API; query IDs/counts/balances for transactions; export/build artifact or monitoring trace where applicable.</t>
        </is>
      </c>
      <c r="R206" s="4" t="inlineStr">
        <is>
          <t>Planned / Not Yet Executed</t>
        </is>
      </c>
      <c r="S206" s="4" t="inlineStr"/>
      <c r="T206" s="4" t="inlineStr"/>
      <c r="U206" s="4" t="inlineStr"/>
      <c r="V206" s="4" t="inlineStr"/>
      <c r="W206" s="4" t="inlineStr"/>
      <c r="X206" s="4" t="inlineStr"/>
    </row>
    <row r="207" ht="72" customHeight="1">
      <c r="A207" s="4" t="inlineStr">
        <is>
          <t>SEC-002</t>
        </is>
      </c>
      <c r="B207" s="4" t="inlineStr">
        <is>
          <t>Security &amp; Privacy</t>
        </is>
      </c>
      <c r="C207" s="4" t="inlineStr">
        <is>
          <t>FR-A02, FR-A04, NFR-03, NFR-10</t>
        </is>
      </c>
      <c r="D207" s="4" t="inlineStr">
        <is>
          <t>JWT secret is mandatory and has no production fallback</t>
        </is>
      </c>
      <c r="E207" s="4" t="inlineStr">
        <is>
          <t>Verify, without assuming a pass result, that the release candidate correctly enforces: JWT secret is mandatory and has no production fallback.</t>
        </is>
      </c>
      <c r="F207" s="4" t="inlineStr">
        <is>
          <t>Positive</t>
        </is>
      </c>
      <c r="G207" s="4" t="inlineStr">
        <is>
          <t>Critical</t>
        </is>
      </c>
      <c r="H207" s="4" t="inlineStr">
        <is>
          <t>Critical</t>
        </is>
      </c>
      <c r="I207" s="4" t="inlineStr">
        <is>
          <t>Written authorization exists for non-destructive QA security checks in an isolated environment.</t>
        </is>
      </c>
      <c r="J207" s="4" t="inlineStr">
        <is>
          <t>Use only named synthetic records from the Test Data Plan; capture generated IDs and baseline values in evidence. Never use real credentials, customer PII or secrets.</t>
        </is>
      </c>
      <c r="K207" s="4" t="inlineStr">
        <is>
          <t>Authorized security tester</t>
        </is>
      </c>
      <c r="L207" s="4" t="inlineStr">
        <is>
          <t>Isolated QA or staging; never production unless the approved smoke step explicitly says so</t>
        </is>
      </c>
      <c r="M207" s="4" t="inlineStr">
        <is>
          <t>1. Sign in as Authorized security tester, or remain anonymous when the case requires it.
2. Record relevant UI, API and database baseline identifiers, statuses, counts and balances.
3. Use the documented page/API to verify that jWT secret is mandatory and has no production fallback.
4. Refresh or repeat through an independent client where concurrency, polling or idempotency applies.
5. Compare the outcome, scope, audit fields and side effects with the expected result; capture evidence.</t>
        </is>
      </c>
      <c r="N207" s="4" t="inlineStr">
        <is>
          <t>The release candidate demonstrates the specified behavior exactly and only within the actor's authorized scope: JWT secret is mandatory and has no production fallback. No unrelated record changes.</t>
        </is>
      </c>
      <c r="O207" s="4" t="inlineStr">
        <is>
          <t>Reverse only synthetic changes through supported UI/API, or restore the approved isolated snapshot; confirm no residual locks, sessions, occupied tables or stock deltas.</t>
        </is>
      </c>
      <c r="P207" s="4" t="inlineStr">
        <is>
          <t>Yes</t>
        </is>
      </c>
      <c r="Q207" s="4" t="inlineStr">
        <is>
          <t>Timestamped screenshots for UI; request/response with secrets redacted for API; query IDs/counts/balances for transactions; export/build artifact or monitoring trace where applicable.</t>
        </is>
      </c>
      <c r="R207" s="4" t="inlineStr">
        <is>
          <t>Planned / Not Yet Executed</t>
        </is>
      </c>
      <c r="S207" s="4" t="inlineStr"/>
      <c r="T207" s="4" t="inlineStr"/>
      <c r="U207" s="4" t="inlineStr"/>
      <c r="V207" s="4" t="inlineStr"/>
      <c r="W207" s="4" t="inlineStr"/>
      <c r="X207" s="4" t="inlineStr"/>
    </row>
    <row r="208" ht="72" customHeight="1">
      <c r="A208" s="4" t="inlineStr">
        <is>
          <t>SEC-003</t>
        </is>
      </c>
      <c r="B208" s="4" t="inlineStr">
        <is>
          <t>Security &amp; Privacy</t>
        </is>
      </c>
      <c r="C208" s="4" t="inlineStr">
        <is>
          <t>FR-A02, FR-A04, NFR-03, NFR-10</t>
        </is>
      </c>
      <c r="D208" s="4" t="inlineStr">
        <is>
          <t>Startup does not reset passwords or reactivate accounts</t>
        </is>
      </c>
      <c r="E208" s="4" t="inlineStr">
        <is>
          <t>Verify, without assuming a pass result, that the release candidate correctly enforces: Startup does not reset passwords or reactivate accounts.</t>
        </is>
      </c>
      <c r="F208" s="4" t="inlineStr">
        <is>
          <t>Positive</t>
        </is>
      </c>
      <c r="G208" s="4" t="inlineStr">
        <is>
          <t>Critical</t>
        </is>
      </c>
      <c r="H208" s="4" t="inlineStr">
        <is>
          <t>Critical</t>
        </is>
      </c>
      <c r="I208" s="4" t="inlineStr">
        <is>
          <t>Written authorization exists for non-destructive QA security checks in an isolated environment.</t>
        </is>
      </c>
      <c r="J208" s="4" t="inlineStr">
        <is>
          <t>Use only named synthetic records from the Test Data Plan; capture generated IDs and baseline values in evidence. Never use real credentials, customer PII or secrets.</t>
        </is>
      </c>
      <c r="K208" s="4" t="inlineStr">
        <is>
          <t>Authorized security tester</t>
        </is>
      </c>
      <c r="L208" s="4" t="inlineStr">
        <is>
          <t>Isolated QA or staging; never production unless the approved smoke step explicitly says so</t>
        </is>
      </c>
      <c r="M208" s="4" t="inlineStr">
        <is>
          <t>1. Sign in as Authorized security tester, or remain anonymous when the case requires it.
2. Record relevant UI, API and database baseline identifiers, statuses, counts and balances.
3. Use the documented page/API to verify that startup does not reset passwords or reactivate accounts.
4. Refresh or repeat through an independent client where concurrency, polling or idempotency applies.
5. Compare the outcome, scope, audit fields and side effects with the expected result; capture evidence.</t>
        </is>
      </c>
      <c r="N208" s="4" t="inlineStr">
        <is>
          <t>The release candidate demonstrates the specified behavior exactly and only within the actor's authorized scope: Startup does not reset passwords or reactivate accounts. No unrelated record changes.</t>
        </is>
      </c>
      <c r="O208" s="4" t="inlineStr">
        <is>
          <t>Reverse only synthetic changes through supported UI/API, or restore the approved isolated snapshot; confirm no residual locks, sessions, occupied tables or stock deltas.</t>
        </is>
      </c>
      <c r="P208" s="4" t="inlineStr">
        <is>
          <t>Yes</t>
        </is>
      </c>
      <c r="Q208" s="4" t="inlineStr">
        <is>
          <t>Timestamped screenshots for UI; request/response with secrets redacted for API; query IDs/counts/balances for transactions; export/build artifact or monitoring trace where applicable.</t>
        </is>
      </c>
      <c r="R208" s="4" t="inlineStr">
        <is>
          <t>Planned / Not Yet Executed</t>
        </is>
      </c>
      <c r="S208" s="4" t="inlineStr"/>
      <c r="T208" s="4" t="inlineStr"/>
      <c r="U208" s="4" t="inlineStr"/>
      <c r="V208" s="4" t="inlineStr"/>
      <c r="W208" s="4" t="inlineStr"/>
      <c r="X208" s="4" t="inlineStr"/>
    </row>
    <row r="209" ht="72" customHeight="1">
      <c r="A209" s="4" t="inlineStr">
        <is>
          <t>SEC-004</t>
        </is>
      </c>
      <c r="B209" s="4" t="inlineStr">
        <is>
          <t>Security &amp; Privacy</t>
        </is>
      </c>
      <c r="C209" s="4" t="inlineStr">
        <is>
          <t>FR-A02, FR-A04, NFR-03, NFR-10</t>
        </is>
      </c>
      <c r="D209" s="4" t="inlineStr">
        <is>
          <t>CORS permits only the configured production origin</t>
        </is>
      </c>
      <c r="E209" s="4" t="inlineStr">
        <is>
          <t>Verify, without assuming a pass result, that the release candidate correctly enforces: CORS permits only the configured production origin.</t>
        </is>
      </c>
      <c r="F209" s="4" t="inlineStr">
        <is>
          <t>Authorization</t>
        </is>
      </c>
      <c r="G209" s="4" t="inlineStr">
        <is>
          <t>High</t>
        </is>
      </c>
      <c r="H209" s="4" t="inlineStr">
        <is>
          <t>High</t>
        </is>
      </c>
      <c r="I209" s="4" t="inlineStr">
        <is>
          <t>Written authorization exists for non-destructive QA security checks in an isolated environment.</t>
        </is>
      </c>
      <c r="J209" s="4" t="inlineStr">
        <is>
          <t>Use only named synthetic records from the Test Data Plan; capture generated IDs and baseline values in evidence. Never use real credentials, customer PII or secrets.</t>
        </is>
      </c>
      <c r="K209" s="4" t="inlineStr">
        <is>
          <t>Authorized security tester</t>
        </is>
      </c>
      <c r="L209" s="4" t="inlineStr">
        <is>
          <t>Isolated QA or staging; never production unless the approved smoke step explicitly says so</t>
        </is>
      </c>
      <c r="M209" s="4" t="inlineStr">
        <is>
          <t>1. Sign in as Authorized security tester, or remain anonymous when the case requires it.
2. Record relevant UI, API and database baseline identifiers, statuses, counts and balances.
3. Use the documented page/API to verify that cORS permits only the configured production origin.
4. Refresh or repeat through an independent client where concurrency, polling or idempotency applies.
5. Compare the outcome, scope, audit fields and side effects with the expected result; capture evidence.</t>
        </is>
      </c>
      <c r="N209" s="4" t="inlineStr">
        <is>
          <t>The release candidate demonstrates the specified behavior exactly and only within the actor's authorized scope: CORS permits only the configured production origin. No unrelated record changes.</t>
        </is>
      </c>
      <c r="O209" s="4" t="inlineStr">
        <is>
          <t>Reverse only synthetic changes through supported UI/API, or restore the approved isolated snapshot; confirm no residual locks, sessions, occupied tables or stock deltas.</t>
        </is>
      </c>
      <c r="P209" s="4" t="inlineStr">
        <is>
          <t>Yes</t>
        </is>
      </c>
      <c r="Q209" s="4" t="inlineStr">
        <is>
          <t>Timestamped screenshots for UI; request/response with secrets redacted for API; query IDs/counts/balances for transactions; export/build artifact or monitoring trace where applicable.</t>
        </is>
      </c>
      <c r="R209" s="4" t="inlineStr">
        <is>
          <t>Planned / Not Yet Executed</t>
        </is>
      </c>
      <c r="S209" s="4" t="inlineStr"/>
      <c r="T209" s="4" t="inlineStr"/>
      <c r="U209" s="4" t="inlineStr"/>
      <c r="V209" s="4" t="inlineStr"/>
      <c r="W209" s="4" t="inlineStr"/>
      <c r="X209" s="4" t="inlineStr"/>
    </row>
    <row r="210" ht="72" customHeight="1">
      <c r="A210" s="4" t="inlineStr">
        <is>
          <t>SEC-005</t>
        </is>
      </c>
      <c r="B210" s="4" t="inlineStr">
        <is>
          <t>Security &amp; Privacy</t>
        </is>
      </c>
      <c r="C210" s="4" t="inlineStr">
        <is>
          <t>FR-A02, FR-A04, NFR-03, NFR-10</t>
        </is>
      </c>
      <c r="D210" s="4" t="inlineStr">
        <is>
          <t>Swagger and seed operations are restricted in production</t>
        </is>
      </c>
      <c r="E210" s="4" t="inlineStr">
        <is>
          <t>Verify, without assuming a pass result, that the release candidate correctly enforces: Swagger and seed operations are restricted in production.</t>
        </is>
      </c>
      <c r="F210" s="4" t="inlineStr">
        <is>
          <t>Authorization</t>
        </is>
      </c>
      <c r="G210" s="4" t="inlineStr">
        <is>
          <t>High</t>
        </is>
      </c>
      <c r="H210" s="4" t="inlineStr">
        <is>
          <t>High</t>
        </is>
      </c>
      <c r="I210" s="4" t="inlineStr">
        <is>
          <t>Written authorization exists for non-destructive QA security checks in an isolated environment.</t>
        </is>
      </c>
      <c r="J210" s="4" t="inlineStr">
        <is>
          <t>Use only named synthetic records from the Test Data Plan; capture generated IDs and baseline values in evidence. Never use real credentials, customer PII or secrets.</t>
        </is>
      </c>
      <c r="K210" s="4" t="inlineStr">
        <is>
          <t>Authorized security tester</t>
        </is>
      </c>
      <c r="L210" s="4" t="inlineStr">
        <is>
          <t>Isolated QA or staging; never production unless the approved smoke step explicitly says so</t>
        </is>
      </c>
      <c r="M210" s="4" t="inlineStr">
        <is>
          <t>1. Sign in as Authorized security tester, or remain anonymous when the case requires it.
2. Record relevant UI, API and database baseline identifiers, statuses, counts and balances.
3. Use the documented page/API to verify that swagger and seed operations are restricted in production.
4. Refresh or repeat through an independent client where concurrency, polling or idempotency applies.
5. Compare the outcome, scope, audit fields and side effects with the expected result; capture evidence.</t>
        </is>
      </c>
      <c r="N210" s="4" t="inlineStr">
        <is>
          <t>The release candidate demonstrates the specified behavior exactly and only within the actor's authorized scope: Swagger and seed operations are restricted in production. No unrelated record changes.</t>
        </is>
      </c>
      <c r="O210" s="4" t="inlineStr">
        <is>
          <t>Reverse only synthetic changes through supported UI/API, or restore the approved isolated snapshot; confirm no residual locks, sessions, occupied tables or stock deltas.</t>
        </is>
      </c>
      <c r="P210" s="4" t="inlineStr">
        <is>
          <t>Yes</t>
        </is>
      </c>
      <c r="Q210" s="4" t="inlineStr">
        <is>
          <t>Timestamped screenshots for UI; request/response with secrets redacted for API; query IDs/counts/balances for transactions; export/build artifact or monitoring trace where applicable.</t>
        </is>
      </c>
      <c r="R210" s="4" t="inlineStr">
        <is>
          <t>Planned / Not Yet Executed</t>
        </is>
      </c>
      <c r="S210" s="4" t="inlineStr"/>
      <c r="T210" s="4" t="inlineStr"/>
      <c r="U210" s="4" t="inlineStr"/>
      <c r="V210" s="4" t="inlineStr"/>
      <c r="W210" s="4" t="inlineStr"/>
      <c r="X210" s="4" t="inlineStr"/>
    </row>
    <row r="211" ht="72" customHeight="1">
      <c r="A211" s="4" t="inlineStr">
        <is>
          <t>SEC-006</t>
        </is>
      </c>
      <c r="B211" s="4" t="inlineStr">
        <is>
          <t>Security &amp; Privacy</t>
        </is>
      </c>
      <c r="C211" s="4" t="inlineStr">
        <is>
          <t>FR-A02, FR-A04, NFR-03, NFR-10</t>
        </is>
      </c>
      <c r="D211" s="4" t="inlineStr">
        <is>
          <t>Login and write inputs resist non-destructive injection probes</t>
        </is>
      </c>
      <c r="E211" s="4" t="inlineStr">
        <is>
          <t>Verify, without assuming a pass result, that the release candidate correctly enforces: Login and write inputs resist non-destructive injection probes.</t>
        </is>
      </c>
      <c r="F211" s="4" t="inlineStr">
        <is>
          <t>Positive</t>
        </is>
      </c>
      <c r="G211" s="4" t="inlineStr">
        <is>
          <t>High</t>
        </is>
      </c>
      <c r="H211" s="4" t="inlineStr">
        <is>
          <t>High</t>
        </is>
      </c>
      <c r="I211" s="4" t="inlineStr">
        <is>
          <t>Written authorization exists for non-destructive QA security checks in an isolated environment.</t>
        </is>
      </c>
      <c r="J211" s="4" t="inlineStr">
        <is>
          <t>Use only named synthetic records from the Test Data Plan; capture generated IDs and baseline values in evidence. Never use real credentials, customer PII or secrets.</t>
        </is>
      </c>
      <c r="K211" s="4" t="inlineStr">
        <is>
          <t>Authorized security tester</t>
        </is>
      </c>
      <c r="L211" s="4" t="inlineStr">
        <is>
          <t>Isolated QA or staging; never production unless the approved smoke step explicitly says so</t>
        </is>
      </c>
      <c r="M211" s="4" t="inlineStr">
        <is>
          <t>1. Sign in as Authorized security tester, or remain anonymous when the case requires it.
2. Record relevant UI, API and database baseline identifiers, statuses, counts and balances.
3. Use the documented page/API to verify that login and write inputs resist non-destructive injection probes.
4. Refresh or repeat through an independent client where concurrency, polling or idempotency applies.
5. Compare the outcome, scope, audit fields and side effects with the expected result; capture evidence.</t>
        </is>
      </c>
      <c r="N211" s="4" t="inlineStr">
        <is>
          <t>The release candidate demonstrates the specified behavior exactly and only within the actor's authorized scope: Login and write inputs resist non-destructive injection probes. No unrelated record changes.</t>
        </is>
      </c>
      <c r="O211" s="4" t="inlineStr">
        <is>
          <t>Reverse only synthetic changes through supported UI/API, or restore the approved isolated snapshot; confirm no residual locks, sessions, occupied tables or stock deltas.</t>
        </is>
      </c>
      <c r="P211" s="4" t="inlineStr">
        <is>
          <t>Yes</t>
        </is>
      </c>
      <c r="Q211" s="4" t="inlineStr">
        <is>
          <t>Timestamped screenshots for UI; request/response with secrets redacted for API; query IDs/counts/balances for transactions; export/build artifact or monitoring trace where applicable.</t>
        </is>
      </c>
      <c r="R211" s="4" t="inlineStr">
        <is>
          <t>Planned / Not Yet Executed</t>
        </is>
      </c>
      <c r="S211" s="4" t="inlineStr"/>
      <c r="T211" s="4" t="inlineStr"/>
      <c r="U211" s="4" t="inlineStr"/>
      <c r="V211" s="4" t="inlineStr"/>
      <c r="W211" s="4" t="inlineStr"/>
      <c r="X211" s="4" t="inlineStr"/>
    </row>
    <row r="212" ht="72" customHeight="1">
      <c r="A212" s="4" t="inlineStr">
        <is>
          <t>SEC-007</t>
        </is>
      </c>
      <c r="B212" s="4" t="inlineStr">
        <is>
          <t>Security &amp; Privacy</t>
        </is>
      </c>
      <c r="C212" s="4" t="inlineStr">
        <is>
          <t>FR-A02, FR-A04, NFR-03, NFR-10</t>
        </is>
      </c>
      <c r="D212" s="4" t="inlineStr">
        <is>
          <t>Rendered user content is encoded against stored and reflected XSS</t>
        </is>
      </c>
      <c r="E212" s="4" t="inlineStr">
        <is>
          <t>Verify, without assuming a pass result, that the release candidate correctly enforces: Rendered user content is encoded against stored and reflected XSS.</t>
        </is>
      </c>
      <c r="F212" s="4" t="inlineStr">
        <is>
          <t>Positive</t>
        </is>
      </c>
      <c r="G212" s="4" t="inlineStr">
        <is>
          <t>Medium</t>
        </is>
      </c>
      <c r="H212" s="4" t="inlineStr">
        <is>
          <t>Medium</t>
        </is>
      </c>
      <c r="I212" s="4" t="inlineStr">
        <is>
          <t>Written authorization exists for non-destructive QA security checks in an isolated environment.</t>
        </is>
      </c>
      <c r="J212" s="4" t="inlineStr">
        <is>
          <t>Use only named synthetic records from the Test Data Plan; capture generated IDs and baseline values in evidence. Never use real credentials, customer PII or secrets.</t>
        </is>
      </c>
      <c r="K212" s="4" t="inlineStr">
        <is>
          <t>Authorized security tester</t>
        </is>
      </c>
      <c r="L212" s="4" t="inlineStr">
        <is>
          <t>Isolated QA or staging; never production unless the approved smoke step explicitly says so</t>
        </is>
      </c>
      <c r="M212" s="4" t="inlineStr">
        <is>
          <t>1. Sign in as Authorized security tester, or remain anonymous when the case requires it.
2. Record relevant UI, API and database baseline identifiers, statuses, counts and balances.
3. Use the documented page/API to verify that rendered user content is encoded against stored and reflected XSS.
4. Refresh or repeat through an independent client where concurrency, polling or idempotency applies.
5. Compare the outcome, scope, audit fields and side effects with the expected result; capture evidence.</t>
        </is>
      </c>
      <c r="N212" s="4" t="inlineStr">
        <is>
          <t>The release candidate demonstrates the specified behavior exactly and only within the actor's authorized scope: Rendered user content is encoded against stored and reflected XSS. No unrelated record changes.</t>
        </is>
      </c>
      <c r="O212" s="4" t="inlineStr">
        <is>
          <t>Reverse only synthetic changes through supported UI/API, or restore the approved isolated snapshot; confirm no residual locks, sessions, occupied tables or stock deltas.</t>
        </is>
      </c>
      <c r="P212" s="4" t="inlineStr">
        <is>
          <t>Yes</t>
        </is>
      </c>
      <c r="Q212" s="4" t="inlineStr">
        <is>
          <t>Timestamped screenshots for UI; request/response with secrets redacted for API; query IDs/counts/balances for transactions; export/build artifact or monitoring trace where applicable.</t>
        </is>
      </c>
      <c r="R212" s="4" t="inlineStr">
        <is>
          <t>Planned / Not Yet Executed</t>
        </is>
      </c>
      <c r="S212" s="4" t="inlineStr"/>
      <c r="T212" s="4" t="inlineStr"/>
      <c r="U212" s="4" t="inlineStr"/>
      <c r="V212" s="4" t="inlineStr"/>
      <c r="W212" s="4" t="inlineStr"/>
      <c r="X212" s="4" t="inlineStr"/>
    </row>
    <row r="213" ht="72" customHeight="1">
      <c r="A213" s="4" t="inlineStr">
        <is>
          <t>SEC-008</t>
        </is>
      </c>
      <c r="B213" s="4" t="inlineStr">
        <is>
          <t>Security &amp; Privacy</t>
        </is>
      </c>
      <c r="C213" s="4" t="inlineStr">
        <is>
          <t>FR-A02, FR-A04, NFR-03, NFR-10</t>
        </is>
      </c>
      <c r="D213" s="4" t="inlineStr">
        <is>
          <t>Object update endpoints reject privilege and scope field tampering</t>
        </is>
      </c>
      <c r="E213" s="4" t="inlineStr">
        <is>
          <t>Verify, without assuming a pass result, that the release candidate correctly enforces: Object update endpoints reject privilege and scope field tampering.</t>
        </is>
      </c>
      <c r="F213" s="4" t="inlineStr">
        <is>
          <t>Authorization</t>
        </is>
      </c>
      <c r="G213" s="4" t="inlineStr">
        <is>
          <t>High</t>
        </is>
      </c>
      <c r="H213" s="4" t="inlineStr">
        <is>
          <t>High</t>
        </is>
      </c>
      <c r="I213" s="4" t="inlineStr">
        <is>
          <t>Written authorization exists for non-destructive QA security checks in an isolated environment.</t>
        </is>
      </c>
      <c r="J213" s="4" t="inlineStr">
        <is>
          <t>Use only named synthetic records from the Test Data Plan; capture generated IDs and baseline values in evidence. Never use real credentials, customer PII or secrets.</t>
        </is>
      </c>
      <c r="K213" s="4" t="inlineStr">
        <is>
          <t>Authorized security tester</t>
        </is>
      </c>
      <c r="L213" s="4" t="inlineStr">
        <is>
          <t>Isolated QA or staging; never production unless the approved smoke step explicitly says so</t>
        </is>
      </c>
      <c r="M213" s="4" t="inlineStr">
        <is>
          <t>1. Sign in as Authorized security tester, or remain anonymous when the case requires it.
2. Record relevant UI, API and database baseline identifiers, statuses, counts and balances.
3. Use the documented page/API to verify that object update endpoints reject privilege and scope field tampering.
4. Refresh or repeat through an independent client where concurrency, polling or idempotency applies.
5. Compare the outcome, scope, audit fields and side effects with the expected result; capture evidence.</t>
        </is>
      </c>
      <c r="N213" s="4" t="inlineStr">
        <is>
          <t>The release candidate demonstrates the specified behavior exactly and only within the actor's authorized scope: Object update endpoints reject privilege and scope field tampering. No unrelated record changes.</t>
        </is>
      </c>
      <c r="O213" s="4" t="inlineStr">
        <is>
          <t>Reverse only synthetic changes through supported UI/API, or restore the approved isolated snapshot; confirm no residual locks, sessions, occupied tables or stock deltas.</t>
        </is>
      </c>
      <c r="P213" s="4" t="inlineStr">
        <is>
          <t>Yes</t>
        </is>
      </c>
      <c r="Q213" s="4" t="inlineStr">
        <is>
          <t>Timestamped screenshots for UI; request/response with secrets redacted for API; query IDs/counts/balances for transactions; export/build artifact or monitoring trace where applicable.</t>
        </is>
      </c>
      <c r="R213" s="4" t="inlineStr">
        <is>
          <t>Planned / Not Yet Executed</t>
        </is>
      </c>
      <c r="S213" s="4" t="inlineStr"/>
      <c r="T213" s="4" t="inlineStr"/>
      <c r="U213" s="4" t="inlineStr"/>
      <c r="V213" s="4" t="inlineStr"/>
      <c r="W213" s="4" t="inlineStr"/>
      <c r="X213" s="4" t="inlineStr"/>
    </row>
    <row r="214" ht="72" customHeight="1">
      <c r="A214" s="4" t="inlineStr">
        <is>
          <t>SEC-009</t>
        </is>
      </c>
      <c r="B214" s="4" t="inlineStr">
        <is>
          <t>Security &amp; Privacy</t>
        </is>
      </c>
      <c r="C214" s="4" t="inlineStr">
        <is>
          <t>FR-A02, FR-A04, NFR-03, NFR-10</t>
        </is>
      </c>
      <c r="D214" s="4" t="inlineStr">
        <is>
          <t>Responses and logs omit tokens passwords SQL stack traces and connection strings</t>
        </is>
      </c>
      <c r="E214" s="4" t="inlineStr">
        <is>
          <t>Verify, without assuming a pass result, that the release candidate correctly enforces: Responses and logs omit tokens passwords SQL stack traces and connection strings.</t>
        </is>
      </c>
      <c r="F214" s="4" t="inlineStr">
        <is>
          <t>Positive</t>
        </is>
      </c>
      <c r="G214" s="4" t="inlineStr">
        <is>
          <t>Critical</t>
        </is>
      </c>
      <c r="H214" s="4" t="inlineStr">
        <is>
          <t>Critical</t>
        </is>
      </c>
      <c r="I214" s="4" t="inlineStr">
        <is>
          <t>Written authorization exists for non-destructive QA security checks in an isolated environment.</t>
        </is>
      </c>
      <c r="J214" s="4" t="inlineStr">
        <is>
          <t>Use only named synthetic records from the Test Data Plan; capture generated IDs and baseline values in evidence. Never use real credentials, customer PII or secrets.</t>
        </is>
      </c>
      <c r="K214" s="4" t="inlineStr">
        <is>
          <t>Authorized security tester</t>
        </is>
      </c>
      <c r="L214" s="4" t="inlineStr">
        <is>
          <t>Isolated QA or staging; never production unless the approved smoke step explicitly says so</t>
        </is>
      </c>
      <c r="M214" s="4" t="inlineStr">
        <is>
          <t>1. Sign in as Authorized security tester, or remain anonymous when the case requires it.
2. Record relevant UI, API and database baseline identifiers, statuses, counts and balances.
3. Use the documented page/API to verify that responses and logs omit tokens passwords SQL stack traces and connection strings.
4. Refresh or repeat through an independent client where concurrency, polling or idempotency applies.
5. Compare the outcome, scope, audit fields and side effects with the expected result; capture evidence.</t>
        </is>
      </c>
      <c r="N214" s="4" t="inlineStr">
        <is>
          <t>The release candidate demonstrates the specified behavior exactly and only within the actor's authorized scope: Responses and logs omit tokens passwords SQL stack traces and connection strings. No unrelated record changes.</t>
        </is>
      </c>
      <c r="O214" s="4" t="inlineStr">
        <is>
          <t>Reverse only synthetic changes through supported UI/API, or restore the approved isolated snapshot; confirm no residual locks, sessions, occupied tables or stock deltas.</t>
        </is>
      </c>
      <c r="P214" s="4" t="inlineStr">
        <is>
          <t>Yes</t>
        </is>
      </c>
      <c r="Q214" s="4" t="inlineStr">
        <is>
          <t>Timestamped screenshots for UI; request/response with secrets redacted for API; query IDs/counts/balances for transactions; export/build artifact or monitoring trace where applicable.</t>
        </is>
      </c>
      <c r="R214" s="4" t="inlineStr">
        <is>
          <t>Planned / Not Yet Executed</t>
        </is>
      </c>
      <c r="S214" s="4" t="inlineStr"/>
      <c r="T214" s="4" t="inlineStr"/>
      <c r="U214" s="4" t="inlineStr"/>
      <c r="V214" s="4" t="inlineStr"/>
      <c r="W214" s="4" t="inlineStr"/>
      <c r="X214" s="4" t="inlineStr"/>
    </row>
    <row r="215" ht="72" customHeight="1">
      <c r="A215" s="4" t="inlineStr">
        <is>
          <t>SEC-010</t>
        </is>
      </c>
      <c r="B215" s="4" t="inlineStr">
        <is>
          <t>Security &amp; Privacy</t>
        </is>
      </c>
      <c r="C215" s="4" t="inlineStr">
        <is>
          <t>FR-A02, FR-A04, NFR-03, NFR-10</t>
        </is>
      </c>
      <c r="D215" s="4" t="inlineStr">
        <is>
          <t>Security headers dependency findings and localStorage token risk are reviewed</t>
        </is>
      </c>
      <c r="E215" s="4" t="inlineStr">
        <is>
          <t>Verify, without assuming a pass result, that the release candidate correctly enforces: Security headers dependency findings and localStorage token risk are reviewed.</t>
        </is>
      </c>
      <c r="F215" s="4" t="inlineStr">
        <is>
          <t>Positive</t>
        </is>
      </c>
      <c r="G215" s="4" t="inlineStr">
        <is>
          <t>Medium</t>
        </is>
      </c>
      <c r="H215" s="4" t="inlineStr">
        <is>
          <t>Medium</t>
        </is>
      </c>
      <c r="I215" s="4" t="inlineStr">
        <is>
          <t>Written authorization exists for non-destructive QA security checks in an isolated environment.</t>
        </is>
      </c>
      <c r="J215" s="4" t="inlineStr">
        <is>
          <t>Use only named synthetic records from the Test Data Plan; capture generated IDs and baseline values in evidence. Never use real credentials, customer PII or secrets.</t>
        </is>
      </c>
      <c r="K215" s="4" t="inlineStr">
        <is>
          <t>Authorized security tester</t>
        </is>
      </c>
      <c r="L215" s="4" t="inlineStr">
        <is>
          <t>Isolated QA or staging; never production unless the approved smoke step explicitly says so</t>
        </is>
      </c>
      <c r="M215" s="4" t="inlineStr">
        <is>
          <t>1. Sign in as Authorized security tester, or remain anonymous when the case requires it.
2. Record relevant UI, API and database baseline identifiers, statuses, counts and balances.
3. Use the documented page/API to verify that security headers dependency findings and localStorage token risk are reviewed.
4. Refresh or repeat through an independent client where concurrency, polling or idempotency applies.
5. Compare the outcome, scope, audit fields and side effects with the expected result; capture evidence.</t>
        </is>
      </c>
      <c r="N215" s="4" t="inlineStr">
        <is>
          <t>The release candidate demonstrates the specified behavior exactly and only within the actor's authorized scope: Security headers dependency findings and localStorage token risk are reviewed. No unrelated record changes.</t>
        </is>
      </c>
      <c r="O215" s="4" t="inlineStr">
        <is>
          <t>Reverse only synthetic changes through supported UI/API, or restore the approved isolated snapshot; confirm no residual locks, sessions, occupied tables or stock deltas.</t>
        </is>
      </c>
      <c r="P215" s="4" t="inlineStr">
        <is>
          <t>Yes</t>
        </is>
      </c>
      <c r="Q215" s="4" t="inlineStr">
        <is>
          <t>Timestamped screenshots for UI; request/response with secrets redacted for API; query IDs/counts/balances for transactions; export/build artifact or monitoring trace where applicable.</t>
        </is>
      </c>
      <c r="R215" s="4" t="inlineStr">
        <is>
          <t>Planned / Not Yet Executed</t>
        </is>
      </c>
      <c r="S215" s="4" t="inlineStr"/>
      <c r="T215" s="4" t="inlineStr"/>
      <c r="U215" s="4" t="inlineStr"/>
      <c r="V215" s="4" t="inlineStr"/>
      <c r="W215" s="4" t="inlineStr"/>
      <c r="X215" s="4" t="inlineStr"/>
    </row>
    <row r="216" ht="72" customHeight="1">
      <c r="A216" s="4" t="inlineStr">
        <is>
          <t>PERF-001</t>
        </is>
      </c>
      <c r="B216" s="4" t="inlineStr">
        <is>
          <t>Performance &amp; Load</t>
        </is>
      </c>
      <c r="C216" s="4" t="inlineStr">
        <is>
          <t>NFR-01, NFR-02</t>
        </is>
      </c>
      <c r="D216" s="4" t="inlineStr">
        <is>
          <t>Standard page renders within two seconds on typical broadband</t>
        </is>
      </c>
      <c r="E216" s="4" t="inlineStr">
        <is>
          <t>Verify, without assuming a pass result, that the release candidate correctly enforces: Standard page renders within two seconds on typical broadband.</t>
        </is>
      </c>
      <c r="F216" s="4" t="inlineStr">
        <is>
          <t>Positive</t>
        </is>
      </c>
      <c r="G216" s="4" t="inlineStr">
        <is>
          <t>Medium</t>
        </is>
      </c>
      <c r="H216" s="4" t="inlineStr">
        <is>
          <t>Medium</t>
        </is>
      </c>
      <c r="I216" s="4" t="inlineStr">
        <is>
          <t>Production-like isolated environment, approved synthetic dataset and monitoring are available.</t>
        </is>
      </c>
      <c r="J216" s="4" t="inlineStr">
        <is>
          <t>Use only named synthetic records from the Test Data Plan; capture generated IDs and baseline values in evidence. Never use real credentials, customer PII or secrets.</t>
        </is>
      </c>
      <c r="K216" s="4" t="inlineStr">
        <is>
          <t>Performance tester</t>
        </is>
      </c>
      <c r="L216" s="4" t="inlineStr">
        <is>
          <t>Isolated QA or staging; never production unless the approved smoke step explicitly says so</t>
        </is>
      </c>
      <c r="M216" s="4" t="inlineStr">
        <is>
          <t>1. Sign in as Performance tester, or remain anonymous when the case requires it.
2. Record relevant UI, API and database baseline identifiers, statuses, counts and balances.
3. Use the documented page/API to verify that standard page renders within two seconds on typical broadband.
4. Refresh or repeat through an independent client where concurrency, polling or idempotency applies.
5. Compare the outcome, scope, audit fields and side effects with the expected result; capture evidence.</t>
        </is>
      </c>
      <c r="N216" s="4" t="inlineStr">
        <is>
          <t>The release candidate demonstrates the specified behavior exactly and only within the actor's authorized scope: Standard page renders within two seconds on typical broadband. No unrelated record changes.</t>
        </is>
      </c>
      <c r="O216" s="4" t="inlineStr">
        <is>
          <t>Reverse only synthetic changes through supported UI/API, or restore the approved isolated snapshot; confirm no residual locks, sessions, occupied tables or stock deltas.</t>
        </is>
      </c>
      <c r="P216" s="4" t="inlineStr">
        <is>
          <t>Yes</t>
        </is>
      </c>
      <c r="Q216" s="4" t="inlineStr">
        <is>
          <t>Timestamped screenshots for UI; request/response with secrets redacted for API; query IDs/counts/balances for transactions; export/build artifact or monitoring trace where applicable.</t>
        </is>
      </c>
      <c r="R216" s="4" t="inlineStr">
        <is>
          <t>Planned / Not Yet Executed</t>
        </is>
      </c>
      <c r="S216" s="4" t="inlineStr"/>
      <c r="T216" s="4" t="inlineStr"/>
      <c r="U216" s="4" t="inlineStr"/>
      <c r="V216" s="4" t="inlineStr"/>
      <c r="W216" s="4" t="inlineStr"/>
      <c r="X216" s="4" t="inlineStr"/>
    </row>
    <row r="217" ht="72" customHeight="1">
      <c r="A217" s="4" t="inlineStr">
        <is>
          <t>PERF-002</t>
        </is>
      </c>
      <c r="B217" s="4" t="inlineStr">
        <is>
          <t>Performance &amp; Load</t>
        </is>
      </c>
      <c r="C217" s="4" t="inlineStr">
        <is>
          <t>NFR-01, NFR-02</t>
        </is>
      </c>
      <c r="D217" s="4" t="inlineStr">
        <is>
          <t>List endpoint returns within 500 ms at ten thousand orders</t>
        </is>
      </c>
      <c r="E217" s="4" t="inlineStr">
        <is>
          <t>Verify, without assuming a pass result, that the release candidate correctly enforces: List endpoint returns within 500 ms at ten thousand orders.</t>
        </is>
      </c>
      <c r="F217" s="4" t="inlineStr">
        <is>
          <t>Boundary</t>
        </is>
      </c>
      <c r="G217" s="4" t="inlineStr">
        <is>
          <t>High</t>
        </is>
      </c>
      <c r="H217" s="4" t="inlineStr">
        <is>
          <t>High</t>
        </is>
      </c>
      <c r="I217" s="4" t="inlineStr">
        <is>
          <t>Production-like isolated environment, approved synthetic dataset and monitoring are available.</t>
        </is>
      </c>
      <c r="J217" s="4" t="inlineStr">
        <is>
          <t>Use only named synthetic records from the Test Data Plan; capture generated IDs and baseline values in evidence. Never use real credentials, customer PII or secrets.</t>
        </is>
      </c>
      <c r="K217" s="4" t="inlineStr">
        <is>
          <t>Performance tester</t>
        </is>
      </c>
      <c r="L217" s="4" t="inlineStr">
        <is>
          <t>Isolated QA or staging; never production unless the approved smoke step explicitly says so</t>
        </is>
      </c>
      <c r="M217" s="4" t="inlineStr">
        <is>
          <t>1. Sign in as Performance tester, or remain anonymous when the case requires it.
2. Record relevant UI, API and database baseline identifiers, statuses, counts and balances.
3. Use the documented page/API to verify that list endpoint returns within 500 ms at ten thousand orders.
4. Refresh or repeat through an independent client where concurrency, polling or idempotency applies.
5. Compare the outcome, scope, audit fields and side effects with the expected result; capture evidence.</t>
        </is>
      </c>
      <c r="N217" s="4" t="inlineStr">
        <is>
          <t>The release candidate demonstrates the specified behavior exactly and only within the actor's authorized scope: List endpoint returns within 500 ms at ten thousand orders. No unrelated record changes.</t>
        </is>
      </c>
      <c r="O217" s="4" t="inlineStr">
        <is>
          <t>Reverse only synthetic changes through supported UI/API, or restore the approved isolated snapshot; confirm no residual locks, sessions, occupied tables or stock deltas.</t>
        </is>
      </c>
      <c r="P217" s="4" t="inlineStr">
        <is>
          <t>Yes</t>
        </is>
      </c>
      <c r="Q217" s="4" t="inlineStr">
        <is>
          <t>Timestamped screenshots for UI; request/response with secrets redacted for API; query IDs/counts/balances for transactions; export/build artifact or monitoring trace where applicable.</t>
        </is>
      </c>
      <c r="R217" s="4" t="inlineStr">
        <is>
          <t>Planned / Not Yet Executed</t>
        </is>
      </c>
      <c r="S217" s="4" t="inlineStr"/>
      <c r="T217" s="4" t="inlineStr"/>
      <c r="U217" s="4" t="inlineStr"/>
      <c r="V217" s="4" t="inlineStr"/>
      <c r="W217" s="4" t="inlineStr"/>
      <c r="X217" s="4" t="inlineStr"/>
    </row>
    <row r="218" ht="72" customHeight="1">
      <c r="A218" s="4" t="inlineStr">
        <is>
          <t>PERF-003</t>
        </is>
      </c>
      <c r="B218" s="4" t="inlineStr">
        <is>
          <t>Performance &amp; Load</t>
        </is>
      </c>
      <c r="C218" s="4" t="inlineStr">
        <is>
          <t>NFR-01, NFR-02</t>
        </is>
      </c>
      <c r="D218" s="4" t="inlineStr">
        <is>
          <t>Ten-second polling remains stable without request accumulation</t>
        </is>
      </c>
      <c r="E218" s="4" t="inlineStr">
        <is>
          <t>Verify, without assuming a pass result, that the release candidate correctly enforces: Ten-second polling remains stable without request accumulation.</t>
        </is>
      </c>
      <c r="F218" s="4" t="inlineStr">
        <is>
          <t>Negative</t>
        </is>
      </c>
      <c r="G218" s="4" t="inlineStr">
        <is>
          <t>Medium</t>
        </is>
      </c>
      <c r="H218" s="4" t="inlineStr">
        <is>
          <t>Medium</t>
        </is>
      </c>
      <c r="I218" s="4" t="inlineStr">
        <is>
          <t>Production-like isolated environment, approved synthetic dataset and monitoring are available.</t>
        </is>
      </c>
      <c r="J218" s="4" t="inlineStr">
        <is>
          <t>Use only named synthetic records from the Test Data Plan; capture generated IDs and baseline values in evidence. Never use real credentials, customer PII or secrets.</t>
        </is>
      </c>
      <c r="K218" s="4" t="inlineStr">
        <is>
          <t>Performance tester</t>
        </is>
      </c>
      <c r="L218" s="4" t="inlineStr">
        <is>
          <t>Isolated QA or staging; never production unless the approved smoke step explicitly says so</t>
        </is>
      </c>
      <c r="M218" s="4" t="inlineStr">
        <is>
          <t>1. Sign in as Performance tester, or remain anonymous when the case requires it.
2. Record relevant UI, API and database baseline identifiers, statuses, counts and balances.
3. Use the documented page/API to verify that ten-second polling remains stable without request accumulation.
4. Refresh or repeat through an independent client where concurrency, polling or idempotency applies.
5. Compare the outcome, scope, audit fields and side effects with the expected result; capture evidence.</t>
        </is>
      </c>
      <c r="N218" s="4" t="inlineStr">
        <is>
          <t>The release candidate demonstrates the specified behavior exactly and only within the actor's authorized scope: Ten-second polling remains stable without request accumulation. No unrelated record changes.</t>
        </is>
      </c>
      <c r="O218" s="4" t="inlineStr">
        <is>
          <t>Reverse only synthetic changes through supported UI/API, or restore the approved isolated snapshot; confirm no residual locks, sessions, occupied tables or stock deltas.</t>
        </is>
      </c>
      <c r="P218" s="4" t="inlineStr">
        <is>
          <t>Yes</t>
        </is>
      </c>
      <c r="Q218" s="4" t="inlineStr">
        <is>
          <t>Timestamped screenshots for UI; request/response with secrets redacted for API; query IDs/counts/balances for transactions; export/build artifact or monitoring trace where applicable.</t>
        </is>
      </c>
      <c r="R218" s="4" t="inlineStr">
        <is>
          <t>Planned / Not Yet Executed</t>
        </is>
      </c>
      <c r="S218" s="4" t="inlineStr"/>
      <c r="T218" s="4" t="inlineStr"/>
      <c r="U218" s="4" t="inlineStr"/>
      <c r="V218" s="4" t="inlineStr"/>
      <c r="W218" s="4" t="inlineStr"/>
      <c r="X218" s="4" t="inlineStr"/>
    </row>
    <row r="219" ht="72" customHeight="1">
      <c r="A219" s="4" t="inlineStr">
        <is>
          <t>PERF-004</t>
        </is>
      </c>
      <c r="B219" s="4" t="inlineStr">
        <is>
          <t>Performance &amp; Load</t>
        </is>
      </c>
      <c r="C219" s="4" t="inlineStr">
        <is>
          <t>NFR-01, NFR-02</t>
        </is>
      </c>
      <c r="D219" s="4" t="inlineStr">
        <is>
          <t>Concurrent POS kitchen and payment workload meets agreed capacity</t>
        </is>
      </c>
      <c r="E219" s="4" t="inlineStr">
        <is>
          <t>Verify, without assuming a pass result, that the release candidate correctly enforces: Concurrent POS kitchen and payment workload meets agreed capacity.</t>
        </is>
      </c>
      <c r="F219" s="4" t="inlineStr">
        <is>
          <t>Recovery</t>
        </is>
      </c>
      <c r="G219" s="4" t="inlineStr">
        <is>
          <t>Critical</t>
        </is>
      </c>
      <c r="H219" s="4" t="inlineStr">
        <is>
          <t>Critical</t>
        </is>
      </c>
      <c r="I219" s="4" t="inlineStr">
        <is>
          <t>Production-like isolated environment, approved synthetic dataset and monitoring are available.</t>
        </is>
      </c>
      <c r="J219" s="4" t="inlineStr">
        <is>
          <t>Use only named synthetic records from the Test Data Plan; capture generated IDs and baseline values in evidence. Never use real credentials, customer PII or secrets.</t>
        </is>
      </c>
      <c r="K219" s="4" t="inlineStr">
        <is>
          <t>Performance tester</t>
        </is>
      </c>
      <c r="L219" s="4" t="inlineStr">
        <is>
          <t>Isolated QA or staging; never production unless the approved smoke step explicitly says so</t>
        </is>
      </c>
      <c r="M219" s="4" t="inlineStr">
        <is>
          <t>1. Sign in as Performance tester, or remain anonymous when the case requires it.
2. Record relevant UI, API and database baseline identifiers, statuses, counts and balances.
3. Use the documented page/API to verify that concurrent POS kitchen and payment workload meets agreed capacity.
4. Refresh or repeat through an independent client where concurrency, polling or idempotency applies.
5. Compare the outcome, scope, audit fields and side effects with the expected result; capture evidence.</t>
        </is>
      </c>
      <c r="N219" s="4" t="inlineStr">
        <is>
          <t>The release candidate demonstrates the specified behavior exactly and only within the actor's authorized scope: Concurrent POS kitchen and payment workload meets agreed capacity. No unrelated record changes.</t>
        </is>
      </c>
      <c r="O219" s="4" t="inlineStr">
        <is>
          <t>Reverse only synthetic changes through supported UI/API, or restore the approved isolated snapshot; confirm no residual locks, sessions, occupied tables or stock deltas.</t>
        </is>
      </c>
      <c r="P219" s="4" t="inlineStr">
        <is>
          <t>Yes</t>
        </is>
      </c>
      <c r="Q219" s="4" t="inlineStr">
        <is>
          <t>Timestamped screenshots for UI; request/response with secrets redacted for API; query IDs/counts/balances for transactions; export/build artifact or monitoring trace where applicable.</t>
        </is>
      </c>
      <c r="R219" s="4" t="inlineStr">
        <is>
          <t>Planned / Not Yet Executed</t>
        </is>
      </c>
      <c r="S219" s="4" t="inlineStr"/>
      <c r="T219" s="4" t="inlineStr"/>
      <c r="U219" s="4" t="inlineStr"/>
      <c r="V219" s="4" t="inlineStr"/>
      <c r="W219" s="4" t="inlineStr"/>
      <c r="X219" s="4" t="inlineStr"/>
    </row>
    <row r="220" ht="72" customHeight="1">
      <c r="A220" s="4" t="inlineStr">
        <is>
          <t>PERF-005</t>
        </is>
      </c>
      <c r="B220" s="4" t="inlineStr">
        <is>
          <t>Performance &amp; Load</t>
        </is>
      </c>
      <c r="C220" s="4" t="inlineStr">
        <is>
          <t>NFR-01, NFR-02</t>
        </is>
      </c>
      <c r="D220" s="4" t="inlineStr">
        <is>
          <t>Large report and export use bounded memory and complete acceptably</t>
        </is>
      </c>
      <c r="E220" s="4" t="inlineStr">
        <is>
          <t>Verify, without assuming a pass result, that the release candidate correctly enforces: Large report and export use bounded memory and complete acceptably.</t>
        </is>
      </c>
      <c r="F220" s="4" t="inlineStr">
        <is>
          <t>Positive</t>
        </is>
      </c>
      <c r="G220" s="4" t="inlineStr">
        <is>
          <t>Medium</t>
        </is>
      </c>
      <c r="H220" s="4" t="inlineStr">
        <is>
          <t>Medium</t>
        </is>
      </c>
      <c r="I220" s="4" t="inlineStr">
        <is>
          <t>Production-like isolated environment, approved synthetic dataset and monitoring are available.</t>
        </is>
      </c>
      <c r="J220" s="4" t="inlineStr">
        <is>
          <t>Use only named synthetic records from the Test Data Plan; capture generated IDs and baseline values in evidence. Never use real credentials, customer PII or secrets.</t>
        </is>
      </c>
      <c r="K220" s="4" t="inlineStr">
        <is>
          <t>Performance tester</t>
        </is>
      </c>
      <c r="L220" s="4" t="inlineStr">
        <is>
          <t>Isolated QA or staging; never production unless the approved smoke step explicitly says so</t>
        </is>
      </c>
      <c r="M220" s="4" t="inlineStr">
        <is>
          <t>1. Sign in as Performance tester, or remain anonymous when the case requires it.
2. Record relevant UI, API and database baseline identifiers, statuses, counts and balances.
3. Use the documented page/API to verify that large report and export use bounded memory and complete acceptably.
4. Refresh or repeat through an independent client where concurrency, polling or idempotency applies.
5. Compare the outcome, scope, audit fields and side effects with the expected result; capture evidence.</t>
        </is>
      </c>
      <c r="N220" s="4" t="inlineStr">
        <is>
          <t>The release candidate demonstrates the specified behavior exactly and only within the actor's authorized scope: Large report and export use bounded memory and complete acceptably. No unrelated record changes.</t>
        </is>
      </c>
      <c r="O220" s="4" t="inlineStr">
        <is>
          <t>Reverse only synthetic changes through supported UI/API, or restore the approved isolated snapshot; confirm no residual locks, sessions, occupied tables or stock deltas.</t>
        </is>
      </c>
      <c r="P220" s="4" t="inlineStr">
        <is>
          <t>Yes</t>
        </is>
      </c>
      <c r="Q220" s="4" t="inlineStr">
        <is>
          <t>Timestamped screenshots for UI; request/response with secrets redacted for API; query IDs/counts/balances for transactions; export/build artifact or monitoring trace where applicable.</t>
        </is>
      </c>
      <c r="R220" s="4" t="inlineStr">
        <is>
          <t>Planned / Not Yet Executed</t>
        </is>
      </c>
      <c r="S220" s="4" t="inlineStr"/>
      <c r="T220" s="4" t="inlineStr"/>
      <c r="U220" s="4" t="inlineStr"/>
      <c r="V220" s="4" t="inlineStr"/>
      <c r="W220" s="4" t="inlineStr"/>
      <c r="X220" s="4" t="inlineStr"/>
    </row>
    <row r="221" ht="72" customHeight="1">
      <c r="A221" s="4" t="inlineStr">
        <is>
          <t>PERF-006</t>
        </is>
      </c>
      <c r="B221" s="4" t="inlineStr">
        <is>
          <t>Performance &amp; Load</t>
        </is>
      </c>
      <c r="C221" s="4" t="inlineStr">
        <is>
          <t>NFR-01, NFR-02</t>
        </is>
      </c>
      <c r="D221" s="4" t="inlineStr">
        <is>
          <t>Soak run shows no material resource leak or database pool exhaustion</t>
        </is>
      </c>
      <c r="E221" s="4" t="inlineStr">
        <is>
          <t>Verify, without assuming a pass result, that the release candidate correctly enforces: Soak run shows no material resource leak or database pool exhaustion.</t>
        </is>
      </c>
      <c r="F221" s="4" t="inlineStr">
        <is>
          <t>Positive</t>
        </is>
      </c>
      <c r="G221" s="4" t="inlineStr">
        <is>
          <t>Medium</t>
        </is>
      </c>
      <c r="H221" s="4" t="inlineStr">
        <is>
          <t>Medium</t>
        </is>
      </c>
      <c r="I221" s="4" t="inlineStr">
        <is>
          <t>Production-like isolated environment, approved synthetic dataset and monitoring are available.</t>
        </is>
      </c>
      <c r="J221" s="4" t="inlineStr">
        <is>
          <t>Use only named synthetic records from the Test Data Plan; capture generated IDs and baseline values in evidence. Never use real credentials, customer PII or secrets.</t>
        </is>
      </c>
      <c r="K221" s="4" t="inlineStr">
        <is>
          <t>Performance tester</t>
        </is>
      </c>
      <c r="L221" s="4" t="inlineStr">
        <is>
          <t>Isolated QA or staging; never production unless the approved smoke step explicitly says so</t>
        </is>
      </c>
      <c r="M221" s="4" t="inlineStr">
        <is>
          <t>1. Sign in as Performance tester, or remain anonymous when the case requires it.
2. Record relevant UI, API and database baseline identifiers, statuses, counts and balances.
3. Use the documented page/API to verify that soak run shows no material resource leak or database pool exhaustion.
4. Refresh or repeat through an independent client where concurrency, polling or idempotency applies.
5. Compare the outcome, scope, audit fields and side effects with the expected result; capture evidence.</t>
        </is>
      </c>
      <c r="N221" s="4" t="inlineStr">
        <is>
          <t>The release candidate demonstrates the specified behavior exactly and only within the actor's authorized scope: Soak run shows no material resource leak or database pool exhaustion. No unrelated record changes.</t>
        </is>
      </c>
      <c r="O221" s="4" t="inlineStr">
        <is>
          <t>Reverse only synthetic changes through supported UI/API, or restore the approved isolated snapshot; confirm no residual locks, sessions, occupied tables or stock deltas.</t>
        </is>
      </c>
      <c r="P221" s="4" t="inlineStr">
        <is>
          <t>Yes</t>
        </is>
      </c>
      <c r="Q221" s="4" t="inlineStr">
        <is>
          <t>Timestamped screenshots for UI; request/response with secrets redacted for API; query IDs/counts/balances for transactions; export/build artifact or monitoring trace where applicable.</t>
        </is>
      </c>
      <c r="R221" s="4" t="inlineStr">
        <is>
          <t>Planned / Not Yet Executed</t>
        </is>
      </c>
      <c r="S221" s="4" t="inlineStr"/>
      <c r="T221" s="4" t="inlineStr"/>
      <c r="U221" s="4" t="inlineStr"/>
      <c r="V221" s="4" t="inlineStr"/>
      <c r="W221" s="4" t="inlineStr"/>
      <c r="X221" s="4" t="inlineStr"/>
    </row>
    <row r="222" ht="72" customHeight="1">
      <c r="A222" s="4" t="inlineStr">
        <is>
          <t>DR-001</t>
        </is>
      </c>
      <c r="B222" s="4" t="inlineStr">
        <is>
          <t>Backup Restore &amp; Rollback</t>
        </is>
      </c>
      <c r="C222" s="4" t="inlineStr">
        <is>
          <t>NFR-05, NFR-09</t>
        </is>
      </c>
      <c r="D222" s="4" t="inlineStr">
        <is>
          <t>Scheduled backup is encrypted retained and recorded</t>
        </is>
      </c>
      <c r="E222" s="4" t="inlineStr">
        <is>
          <t>Verify, without assuming a pass result, that the release candidate correctly enforces: Scheduled backup is encrypted retained and recorded.</t>
        </is>
      </c>
      <c r="F222" s="4" t="inlineStr">
        <is>
          <t>Positive</t>
        </is>
      </c>
      <c r="G222" s="4" t="inlineStr">
        <is>
          <t>Medium</t>
        </is>
      </c>
      <c r="H222" s="4" t="inlineStr">
        <is>
          <t>Medium</t>
        </is>
      </c>
      <c r="I222" s="4" t="inlineStr">
        <is>
          <t>Isolated database target, approved backup and reviewed runbook are available.</t>
        </is>
      </c>
      <c r="J222" s="4" t="inlineStr">
        <is>
          <t>Use only named synthetic records from the Test Data Plan; capture generated IDs and baseline values in evidence. Never use real credentials, customer PII or secrets.</t>
        </is>
      </c>
      <c r="K222" s="4" t="inlineStr">
        <is>
          <t>DBA / Release Engineer</t>
        </is>
      </c>
      <c r="L222" s="4" t="inlineStr">
        <is>
          <t>Isolated QA or staging; never production unless the approved smoke step explicitly says so</t>
        </is>
      </c>
      <c r="M222" s="4" t="inlineStr">
        <is>
          <t>1. Sign in as DBA / Release Engineer, or remain anonymous when the case requires it.
2. Record relevant UI, API and database baseline identifiers, statuses, counts and balances.
3. Use the documented page/API to verify that scheduled backup is encrypted retained and recorded.
4. Refresh or repeat through an independent client where concurrency, polling or idempotency applies.
5. Compare the outcome, scope, audit fields and side effects with the expected result; capture evidence.</t>
        </is>
      </c>
      <c r="N222" s="4" t="inlineStr">
        <is>
          <t>The release candidate demonstrates the specified behavior exactly and only within the actor's authorized scope: Scheduled backup is encrypted retained and recorded. No unrelated record changes.</t>
        </is>
      </c>
      <c r="O222" s="4" t="inlineStr">
        <is>
          <t>Reverse only synthetic changes through supported UI/API, or restore the approved isolated snapshot; confirm no residual locks, sessions, occupied tables or stock deltas.</t>
        </is>
      </c>
      <c r="P222" s="4" t="inlineStr">
        <is>
          <t>Yes</t>
        </is>
      </c>
      <c r="Q222" s="4" t="inlineStr">
        <is>
          <t>Timestamped screenshots for UI; request/response with secrets redacted for API; query IDs/counts/balances for transactions; export/build artifact or monitoring trace where applicable.</t>
        </is>
      </c>
      <c r="R222" s="4" t="inlineStr">
        <is>
          <t>Planned / Not Yet Executed</t>
        </is>
      </c>
      <c r="S222" s="4" t="inlineStr"/>
      <c r="T222" s="4" t="inlineStr"/>
      <c r="U222" s="4" t="inlineStr"/>
      <c r="V222" s="4" t="inlineStr"/>
      <c r="W222" s="4" t="inlineStr"/>
      <c r="X222" s="4" t="inlineStr"/>
    </row>
    <row r="223" ht="72" customHeight="1">
      <c r="A223" s="4" t="inlineStr">
        <is>
          <t>DR-002</t>
        </is>
      </c>
      <c r="B223" s="4" t="inlineStr">
        <is>
          <t>Backup Restore &amp; Rollback</t>
        </is>
      </c>
      <c r="C223" s="4" t="inlineStr">
        <is>
          <t>NFR-05, NFR-09</t>
        </is>
      </c>
      <c r="D223" s="4" t="inlineStr">
        <is>
          <t>Backup restores into an isolated database</t>
        </is>
      </c>
      <c r="E223" s="4" t="inlineStr">
        <is>
          <t>Verify, without assuming a pass result, that the release candidate correctly enforces: Backup restores into an isolated database.</t>
        </is>
      </c>
      <c r="F223" s="4" t="inlineStr">
        <is>
          <t>Positive</t>
        </is>
      </c>
      <c r="G223" s="4" t="inlineStr">
        <is>
          <t>High</t>
        </is>
      </c>
      <c r="H223" s="4" t="inlineStr">
        <is>
          <t>High</t>
        </is>
      </c>
      <c r="I223" s="4" t="inlineStr">
        <is>
          <t>Isolated database target, approved backup and reviewed runbook are available.</t>
        </is>
      </c>
      <c r="J223" s="4" t="inlineStr">
        <is>
          <t>Use only named synthetic records from the Test Data Plan; capture generated IDs and baseline values in evidence. Never use real credentials, customer PII or secrets.</t>
        </is>
      </c>
      <c r="K223" s="4" t="inlineStr">
        <is>
          <t>DBA / Release Engineer</t>
        </is>
      </c>
      <c r="L223" s="4" t="inlineStr">
        <is>
          <t>Isolated QA or staging; never production unless the approved smoke step explicitly says so</t>
        </is>
      </c>
      <c r="M223" s="4" t="inlineStr">
        <is>
          <t>1. Sign in as DBA / Release Engineer, or remain anonymous when the case requires it.
2. Record relevant UI, API and database baseline identifiers, statuses, counts and balances.
3. Use the documented page/API to verify that backup restores into an isolated database.
4. Refresh or repeat through an independent client where concurrency, polling or idempotency applies.
5. Compare the outcome, scope, audit fields and side effects with the expected result; capture evidence.</t>
        </is>
      </c>
      <c r="N223" s="4" t="inlineStr">
        <is>
          <t>The release candidate demonstrates the specified behavior exactly and only within the actor's authorized scope: Backup restores into an isolated database. No unrelated record changes.</t>
        </is>
      </c>
      <c r="O223" s="4" t="inlineStr">
        <is>
          <t>Reverse only synthetic changes through supported UI/API, or restore the approved isolated snapshot; confirm no residual locks, sessions, occupied tables or stock deltas.</t>
        </is>
      </c>
      <c r="P223" s="4" t="inlineStr">
        <is>
          <t>Yes</t>
        </is>
      </c>
      <c r="Q223" s="4" t="inlineStr">
        <is>
          <t>Timestamped screenshots for UI; request/response with secrets redacted for API; query IDs/counts/balances for transactions; export/build artifact or monitoring trace where applicable.</t>
        </is>
      </c>
      <c r="R223" s="4" t="inlineStr">
        <is>
          <t>Planned / Not Yet Executed</t>
        </is>
      </c>
      <c r="S223" s="4" t="inlineStr"/>
      <c r="T223" s="4" t="inlineStr"/>
      <c r="U223" s="4" t="inlineStr"/>
      <c r="V223" s="4" t="inlineStr"/>
      <c r="W223" s="4" t="inlineStr"/>
      <c r="X223" s="4" t="inlineStr"/>
    </row>
    <row r="224" ht="72" customHeight="1">
      <c r="A224" s="4" t="inlineStr">
        <is>
          <t>DR-003</t>
        </is>
      </c>
      <c r="B224" s="4" t="inlineStr">
        <is>
          <t>Backup Restore &amp; Rollback</t>
        </is>
      </c>
      <c r="C224" s="4" t="inlineStr">
        <is>
          <t>NFR-05, NFR-09</t>
        </is>
      </c>
      <c r="D224" s="4" t="inlineStr">
        <is>
          <t>Restored counts balances and sample relations reconcile</t>
        </is>
      </c>
      <c r="E224" s="4" t="inlineStr">
        <is>
          <t>Verify, without assuming a pass result, that the release candidate correctly enforces: Restored counts balances and sample relations reconcile.</t>
        </is>
      </c>
      <c r="F224" s="4" t="inlineStr">
        <is>
          <t>Integration</t>
        </is>
      </c>
      <c r="G224" s="4" t="inlineStr">
        <is>
          <t>High</t>
        </is>
      </c>
      <c r="H224" s="4" t="inlineStr">
        <is>
          <t>High</t>
        </is>
      </c>
      <c r="I224" s="4" t="inlineStr">
        <is>
          <t>Isolated database target, approved backup and reviewed runbook are available.</t>
        </is>
      </c>
      <c r="J224" s="4" t="inlineStr">
        <is>
          <t>Use only named synthetic records from the Test Data Plan; capture generated IDs and baseline values in evidence. Never use real credentials, customer PII or secrets.</t>
        </is>
      </c>
      <c r="K224" s="4" t="inlineStr">
        <is>
          <t>DBA / Release Engineer</t>
        </is>
      </c>
      <c r="L224" s="4" t="inlineStr">
        <is>
          <t>Isolated QA or staging; never production unless the approved smoke step explicitly says so</t>
        </is>
      </c>
      <c r="M224" s="4" t="inlineStr">
        <is>
          <t>1. Sign in as DBA / Release Engineer, or remain anonymous when the case requires it.
2. Record relevant UI, API and database baseline identifiers, statuses, counts and balances.
3. Use the documented page/API to verify that restored counts balances and sample relations reconcile.
4. Refresh or repeat through an independent client where concurrency, polling or idempotency applies.
5. Compare the outcome, scope, audit fields and side effects with the expected result; capture evidence.</t>
        </is>
      </c>
      <c r="N224" s="4" t="inlineStr">
        <is>
          <t>Displayed/exported values exactly equal independently calculated values from authorized source records, with correct scope, date boundary and ETB precision.</t>
        </is>
      </c>
      <c r="O224" s="4" t="inlineStr">
        <is>
          <t>Reverse only synthetic changes through supported UI/API, or restore the approved isolated snapshot; confirm no residual locks, sessions, occupied tables or stock deltas.</t>
        </is>
      </c>
      <c r="P224" s="4" t="inlineStr">
        <is>
          <t>Yes</t>
        </is>
      </c>
      <c r="Q224" s="4" t="inlineStr">
        <is>
          <t>Timestamped screenshots for UI; request/response with secrets redacted for API; query IDs/counts/balances for transactions; export/build artifact or monitoring trace where applicable.</t>
        </is>
      </c>
      <c r="R224" s="4" t="inlineStr">
        <is>
          <t>Planned / Not Yet Executed</t>
        </is>
      </c>
      <c r="S224" s="4" t="inlineStr"/>
      <c r="T224" s="4" t="inlineStr"/>
      <c r="U224" s="4" t="inlineStr"/>
      <c r="V224" s="4" t="inlineStr"/>
      <c r="W224" s="4" t="inlineStr"/>
      <c r="X224" s="4" t="inlineStr"/>
    </row>
    <row r="225" ht="72" customHeight="1">
      <c r="A225" s="4" t="inlineStr">
        <is>
          <t>DR-004</t>
        </is>
      </c>
      <c r="B225" s="4" t="inlineStr">
        <is>
          <t>Backup Restore &amp; Rollback</t>
        </is>
      </c>
      <c r="C225" s="4" t="inlineStr">
        <is>
          <t>NFR-05, NFR-09</t>
        </is>
      </c>
      <c r="D225" s="4" t="inlineStr">
        <is>
          <t>Migration baseline applies to a clean isolated database</t>
        </is>
      </c>
      <c r="E225" s="4" t="inlineStr">
        <is>
          <t>Verify, without assuming a pass result, that the release candidate correctly enforces: Migration baseline applies to a clean isolated database.</t>
        </is>
      </c>
      <c r="F225" s="4" t="inlineStr">
        <is>
          <t>Positive</t>
        </is>
      </c>
      <c r="G225" s="4" t="inlineStr">
        <is>
          <t>Medium</t>
        </is>
      </c>
      <c r="H225" s="4" t="inlineStr">
        <is>
          <t>Medium</t>
        </is>
      </c>
      <c r="I225" s="4" t="inlineStr">
        <is>
          <t>Isolated database target, approved backup and reviewed runbook are available.</t>
        </is>
      </c>
      <c r="J225" s="4" t="inlineStr">
        <is>
          <t>Use only named synthetic records from the Test Data Plan; capture generated IDs and baseline values in evidence. Never use real credentials, customer PII or secrets.</t>
        </is>
      </c>
      <c r="K225" s="4" t="inlineStr">
        <is>
          <t>DBA / Release Engineer</t>
        </is>
      </c>
      <c r="L225" s="4" t="inlineStr">
        <is>
          <t>Isolated QA or staging; never production unless the approved smoke step explicitly says so</t>
        </is>
      </c>
      <c r="M225" s="4" t="inlineStr">
        <is>
          <t>1. Sign in as DBA / Release Engineer, or remain anonymous when the case requires it.
2. Record relevant UI, API and database baseline identifiers, statuses, counts and balances.
3. Use the documented page/API to verify that migration baseline applies to a clean isolated database.
4. Refresh or repeat through an independent client where concurrency, polling or idempotency applies.
5. Compare the outcome, scope, audit fields and side effects with the expected result; capture evidence.</t>
        </is>
      </c>
      <c r="N225" s="4" t="inlineStr">
        <is>
          <t>The release candidate demonstrates the specified behavior exactly and only within the actor's authorized scope: Migration baseline applies to a clean isolated database. No unrelated record changes.</t>
        </is>
      </c>
      <c r="O225" s="4" t="inlineStr">
        <is>
          <t>Reverse only synthetic changes through supported UI/API, or restore the approved isolated snapshot; confirm no residual locks, sessions, occupied tables or stock deltas.</t>
        </is>
      </c>
      <c r="P225" s="4" t="inlineStr">
        <is>
          <t>Yes</t>
        </is>
      </c>
      <c r="Q225" s="4" t="inlineStr">
        <is>
          <t>Timestamped screenshots for UI; request/response with secrets redacted for API; query IDs/counts/balances for transactions; export/build artifact or monitoring trace where applicable.</t>
        </is>
      </c>
      <c r="R225" s="4" t="inlineStr">
        <is>
          <t>Planned / Not Yet Executed</t>
        </is>
      </c>
      <c r="S225" s="4" t="inlineStr"/>
      <c r="T225" s="4" t="inlineStr"/>
      <c r="U225" s="4" t="inlineStr"/>
      <c r="V225" s="4" t="inlineStr"/>
      <c r="W225" s="4" t="inlineStr"/>
      <c r="X225" s="4" t="inlineStr"/>
    </row>
    <row r="226" ht="72" customHeight="1">
      <c r="A226" s="4" t="inlineStr">
        <is>
          <t>DR-005</t>
        </is>
      </c>
      <c r="B226" s="4" t="inlineStr">
        <is>
          <t>Backup Restore &amp; Rollback</t>
        </is>
      </c>
      <c r="C226" s="4" t="inlineStr">
        <is>
          <t>NFR-05, NFR-09</t>
        </is>
      </c>
      <c r="D226" s="4" t="inlineStr">
        <is>
          <t>Migration rollback returns schema and data to known-good state</t>
        </is>
      </c>
      <c r="E226" s="4" t="inlineStr">
        <is>
          <t>Verify, without assuming a pass result, that the release candidate correctly enforces: Migration rollback returns schema and data to known-good state.</t>
        </is>
      </c>
      <c r="F226" s="4" t="inlineStr">
        <is>
          <t>Positive</t>
        </is>
      </c>
      <c r="G226" s="4" t="inlineStr">
        <is>
          <t>Critical</t>
        </is>
      </c>
      <c r="H226" s="4" t="inlineStr">
        <is>
          <t>Critical</t>
        </is>
      </c>
      <c r="I226" s="4" t="inlineStr">
        <is>
          <t>Isolated database target, approved backup and reviewed runbook are available.</t>
        </is>
      </c>
      <c r="J226" s="4" t="inlineStr">
        <is>
          <t>Use only named synthetic records from the Test Data Plan; capture generated IDs and baseline values in evidence. Never use real credentials, customer PII or secrets.</t>
        </is>
      </c>
      <c r="K226" s="4" t="inlineStr">
        <is>
          <t>DBA / Release Engineer</t>
        </is>
      </c>
      <c r="L226" s="4" t="inlineStr">
        <is>
          <t>Isolated QA or staging; never production unless the approved smoke step explicitly says so</t>
        </is>
      </c>
      <c r="M226" s="4" t="inlineStr">
        <is>
          <t>1. Sign in as DBA / Release Engineer, or remain anonymous when the case requires it.
2. Record relevant UI, API and database baseline identifiers, statuses, counts and balances.
3. Use the documented page/API to verify that migration rollback returns schema and data to known-good state.
4. Refresh or repeat through an independent client where concurrency, polling or idempotency applies.
5. Compare the outcome, scope, audit fields and side effects with the expected result; capture evidence.</t>
        </is>
      </c>
      <c r="N226" s="4" t="inlineStr">
        <is>
          <t>The release candidate demonstrates the specified behavior exactly and only within the actor's authorized scope: Migration rollback returns schema and data to known-good state. No unrelated record changes.</t>
        </is>
      </c>
      <c r="O226" s="4" t="inlineStr">
        <is>
          <t>Reverse only synthetic changes through supported UI/API, or restore the approved isolated snapshot; confirm no residual locks, sessions, occupied tables or stock deltas.</t>
        </is>
      </c>
      <c r="P226" s="4" t="inlineStr">
        <is>
          <t>Yes</t>
        </is>
      </c>
      <c r="Q226" s="4" t="inlineStr">
        <is>
          <t>Timestamped screenshots for UI; request/response with secrets redacted for API; query IDs/counts/balances for transactions; export/build artifact or monitoring trace where applicable.</t>
        </is>
      </c>
      <c r="R226" s="4" t="inlineStr">
        <is>
          <t>Planned / Not Yet Executed</t>
        </is>
      </c>
      <c r="S226" s="4" t="inlineStr"/>
      <c r="T226" s="4" t="inlineStr"/>
      <c r="U226" s="4" t="inlineStr"/>
      <c r="V226" s="4" t="inlineStr"/>
      <c r="W226" s="4" t="inlineStr"/>
      <c r="X226" s="4" t="inlineStr"/>
    </row>
    <row r="227" ht="72" customHeight="1">
      <c r="A227" s="4" t="inlineStr">
        <is>
          <t>DR-006</t>
        </is>
      </c>
      <c r="B227" s="4" t="inlineStr">
        <is>
          <t>Backup Restore &amp; Rollback</t>
        </is>
      </c>
      <c r="C227" s="4" t="inlineStr">
        <is>
          <t>NFR-05, NFR-09</t>
        </is>
      </c>
      <c r="D227" s="4" t="inlineStr">
        <is>
          <t>Application rollback preserves compatible orders payments and stock</t>
        </is>
      </c>
      <c r="E227" s="4" t="inlineStr">
        <is>
          <t>Verify, without assuming a pass result, that the release candidate correctly enforces: Application rollback preserves compatible orders payments and stock.</t>
        </is>
      </c>
      <c r="F227" s="4" t="inlineStr">
        <is>
          <t>Positive</t>
        </is>
      </c>
      <c r="G227" s="4" t="inlineStr">
        <is>
          <t>Critical</t>
        </is>
      </c>
      <c r="H227" s="4" t="inlineStr">
        <is>
          <t>Critical</t>
        </is>
      </c>
      <c r="I227" s="4" t="inlineStr">
        <is>
          <t>Isolated database target, approved backup and reviewed runbook are available.</t>
        </is>
      </c>
      <c r="J227" s="4" t="inlineStr">
        <is>
          <t>Use only named synthetic records from the Test Data Plan; capture generated IDs and baseline values in evidence. Never use real credentials, customer PII or secrets.</t>
        </is>
      </c>
      <c r="K227" s="4" t="inlineStr">
        <is>
          <t>DBA / Release Engineer</t>
        </is>
      </c>
      <c r="L227" s="4" t="inlineStr">
        <is>
          <t>Isolated QA or staging; never production unless the approved smoke step explicitly says so</t>
        </is>
      </c>
      <c r="M227" s="4" t="inlineStr">
        <is>
          <t>1. Sign in as DBA / Release Engineer, or remain anonymous when the case requires it.
2. Record relevant UI, API and database baseline identifiers, statuses, counts and balances.
3. Use the documented page/API to verify that application rollback preserves compatible orders payments and stock.
4. Refresh or repeat through an independent client where concurrency, polling or idempotency applies.
5. Compare the outcome, scope, audit fields and side effects with the expected result; capture evidence.</t>
        </is>
      </c>
      <c r="N227" s="4" t="inlineStr">
        <is>
          <t>The release candidate demonstrates the specified behavior exactly and only within the actor's authorized scope: Application rollback preserves compatible orders payments and stock. No unrelated record changes.</t>
        </is>
      </c>
      <c r="O227" s="4" t="inlineStr">
        <is>
          <t>Reverse only synthetic changes through supported UI/API, or restore the approved isolated snapshot; confirm no residual locks, sessions, occupied tables or stock deltas.</t>
        </is>
      </c>
      <c r="P227" s="4" t="inlineStr">
        <is>
          <t>Yes</t>
        </is>
      </c>
      <c r="Q227" s="4" t="inlineStr">
        <is>
          <t>Timestamped screenshots for UI; request/response with secrets redacted for API; query IDs/counts/balances for transactions; export/build artifact or monitoring trace where applicable.</t>
        </is>
      </c>
      <c r="R227" s="4" t="inlineStr">
        <is>
          <t>Planned / Not Yet Executed</t>
        </is>
      </c>
      <c r="S227" s="4" t="inlineStr"/>
      <c r="T227" s="4" t="inlineStr"/>
      <c r="U227" s="4" t="inlineStr"/>
      <c r="V227" s="4" t="inlineStr"/>
      <c r="W227" s="4" t="inlineStr"/>
      <c r="X227" s="4" t="inlineStr"/>
    </row>
    <row r="228" ht="72" customHeight="1">
      <c r="A228" s="4" t="inlineStr">
        <is>
          <t>DEPLOY-001</t>
        </is>
      </c>
      <c r="B228" s="4" t="inlineStr">
        <is>
          <t>Deployment &amp; Smoke</t>
        </is>
      </c>
      <c r="C228" s="4" t="inlineStr">
        <is>
          <t>NFR-07, NFR-03</t>
        </is>
      </c>
      <c r="D228" s="4" t="inlineStr">
        <is>
          <t>Production synchronize is disabled and reviewed migrations are used</t>
        </is>
      </c>
      <c r="E228" s="4" t="inlineStr">
        <is>
          <t>Verify, without assuming a pass result, that the release candidate correctly enforces: Production synchronize is disabled and reviewed migrations are used.</t>
        </is>
      </c>
      <c r="F228" s="4" t="inlineStr">
        <is>
          <t>Positive</t>
        </is>
      </c>
      <c r="G228" s="4" t="inlineStr">
        <is>
          <t>Critical</t>
        </is>
      </c>
      <c r="H228" s="4" t="inlineStr">
        <is>
          <t>Critical</t>
        </is>
      </c>
      <c r="I228" s="4" t="inlineStr">
        <is>
          <t>Release candidate is deployed to staging with production-equivalent configuration.</t>
        </is>
      </c>
      <c r="J228" s="4" t="inlineStr">
        <is>
          <t>Use only named synthetic records from the Test Data Plan; capture generated IDs and baseline values in evidence. Never use real credentials, customer PII or secrets.</t>
        </is>
      </c>
      <c r="K228" s="4" t="inlineStr">
        <is>
          <t>Release Engineer / QA Lead</t>
        </is>
      </c>
      <c r="L228" s="4" t="inlineStr">
        <is>
          <t>Isolated QA or staging; never production unless the approved smoke step explicitly says so</t>
        </is>
      </c>
      <c r="M228" s="4" t="inlineStr">
        <is>
          <t>1. Sign in as Release Engineer / QA Lead, or remain anonymous when the case requires it.
2. Record relevant UI, API and database baseline identifiers, statuses, counts and balances.
3. Use the documented page/API to verify that production synchronize is disabled and reviewed migrations are used.
4. Refresh or repeat through an independent client where concurrency, polling or idempotency applies.
5. Compare the outcome, scope, audit fields and side effects with the expected result; capture evidence.</t>
        </is>
      </c>
      <c r="N228" s="4" t="inlineStr">
        <is>
          <t>The release candidate demonstrates the specified behavior exactly and only within the actor's authorized scope: Production synchronize is disabled and reviewed migrations are used. No unrelated record changes.</t>
        </is>
      </c>
      <c r="O228" s="4" t="inlineStr">
        <is>
          <t>Reverse only synthetic changes through supported UI/API, or restore the approved isolated snapshot; confirm no residual locks, sessions, occupied tables or stock deltas.</t>
        </is>
      </c>
      <c r="P228" s="4" t="inlineStr">
        <is>
          <t>Yes</t>
        </is>
      </c>
      <c r="Q228" s="4" t="inlineStr">
        <is>
          <t>Timestamped screenshots for UI; request/response with secrets redacted for API; query IDs/counts/balances for transactions; export/build artifact or monitoring trace where applicable.</t>
        </is>
      </c>
      <c r="R228" s="4" t="inlineStr">
        <is>
          <t>Planned / Not Yet Executed</t>
        </is>
      </c>
      <c r="S228" s="4" t="inlineStr"/>
      <c r="T228" s="4" t="inlineStr"/>
      <c r="U228" s="4" t="inlineStr"/>
      <c r="V228" s="4" t="inlineStr"/>
      <c r="W228" s="4" t="inlineStr"/>
      <c r="X228" s="4" t="inlineStr"/>
    </row>
    <row r="229" ht="72" customHeight="1">
      <c r="A229" s="4" t="inlineStr">
        <is>
          <t>DEPLOY-002</t>
        </is>
      </c>
      <c r="B229" s="4" t="inlineStr">
        <is>
          <t>Deployment &amp; Smoke</t>
        </is>
      </c>
      <c r="C229" s="4" t="inlineStr">
        <is>
          <t>NFR-07, NFR-03</t>
        </is>
      </c>
      <c r="D229" s="4" t="inlineStr">
        <is>
          <t>Frontend rewrite reaches backend over HTTPS</t>
        </is>
      </c>
      <c r="E229" s="4" t="inlineStr">
        <is>
          <t>Verify, without assuming a pass result, that the release candidate correctly enforces: Frontend rewrite reaches backend over HTTPS.</t>
        </is>
      </c>
      <c r="F229" s="4" t="inlineStr">
        <is>
          <t>Integration</t>
        </is>
      </c>
      <c r="G229" s="4" t="inlineStr">
        <is>
          <t>Medium</t>
        </is>
      </c>
      <c r="H229" s="4" t="inlineStr">
        <is>
          <t>Medium</t>
        </is>
      </c>
      <c r="I229" s="4" t="inlineStr">
        <is>
          <t>Release candidate is deployed to staging with production-equivalent configuration.</t>
        </is>
      </c>
      <c r="J229" s="4" t="inlineStr">
        <is>
          <t>Use only named synthetic records from the Test Data Plan; capture generated IDs and baseline values in evidence. Never use real credentials, customer PII or secrets.</t>
        </is>
      </c>
      <c r="K229" s="4" t="inlineStr">
        <is>
          <t>Release Engineer / QA Lead</t>
        </is>
      </c>
      <c r="L229" s="4" t="inlineStr">
        <is>
          <t>Isolated QA or staging; never production unless the approved smoke step explicitly says so</t>
        </is>
      </c>
      <c r="M229" s="4" t="inlineStr">
        <is>
          <t>1. Sign in as Release Engineer / QA Lead, or remain anonymous when the case requires it.
2. Record relevant UI, API and database baseline identifiers, statuses, counts and balances.
3. Use the documented page/API to verify that frontend rewrite reaches backend over HTTPS.
4. Refresh or repeat through an independent client where concurrency, polling or idempotency applies.
5. Compare the outcome, scope, audit fields and side effects with the expected result; capture evidence.</t>
        </is>
      </c>
      <c r="N229" s="4" t="inlineStr">
        <is>
          <t>The release candidate demonstrates the specified behavior exactly and only within the actor's authorized scope: Frontend rewrite reaches backend over HTTPS. No unrelated record changes.</t>
        </is>
      </c>
      <c r="O229" s="4" t="inlineStr">
        <is>
          <t>Reverse only synthetic changes through supported UI/API, or restore the approved isolated snapshot; confirm no residual locks, sessions, occupied tables or stock deltas.</t>
        </is>
      </c>
      <c r="P229" s="4" t="inlineStr">
        <is>
          <t>Yes</t>
        </is>
      </c>
      <c r="Q229" s="4" t="inlineStr">
        <is>
          <t>Timestamped screenshots for UI; request/response with secrets redacted for API; query IDs/counts/balances for transactions; export/build artifact or monitoring trace where applicable.</t>
        </is>
      </c>
      <c r="R229" s="4" t="inlineStr">
        <is>
          <t>Planned / Not Yet Executed</t>
        </is>
      </c>
      <c r="S229" s="4" t="inlineStr"/>
      <c r="T229" s="4" t="inlineStr"/>
      <c r="U229" s="4" t="inlineStr"/>
      <c r="V229" s="4" t="inlineStr"/>
      <c r="W229" s="4" t="inlineStr"/>
      <c r="X229" s="4" t="inlineStr"/>
    </row>
    <row r="230" ht="72" customHeight="1">
      <c r="A230" s="4" t="inlineStr">
        <is>
          <t>DEPLOY-003</t>
        </is>
      </c>
      <c r="B230" s="4" t="inlineStr">
        <is>
          <t>Deployment &amp; Smoke</t>
        </is>
      </c>
      <c r="C230" s="4" t="inlineStr">
        <is>
          <t>NFR-07, NFR-03</t>
        </is>
      </c>
      <c r="D230" s="4" t="inlineStr">
        <is>
          <t>Required secrets exist without appearing in build output</t>
        </is>
      </c>
      <c r="E230" s="4" t="inlineStr">
        <is>
          <t>Verify, without assuming a pass result, that the release candidate correctly enforces: Required secrets exist without appearing in build output.</t>
        </is>
      </c>
      <c r="F230" s="4" t="inlineStr">
        <is>
          <t>Negative</t>
        </is>
      </c>
      <c r="G230" s="4" t="inlineStr">
        <is>
          <t>Medium</t>
        </is>
      </c>
      <c r="H230" s="4" t="inlineStr">
        <is>
          <t>Medium</t>
        </is>
      </c>
      <c r="I230" s="4" t="inlineStr">
        <is>
          <t>Release candidate is deployed to staging with production-equivalent configuration.</t>
        </is>
      </c>
      <c r="J230" s="4" t="inlineStr">
        <is>
          <t>Use only named synthetic records from the Test Data Plan; capture generated IDs and baseline values in evidence. Never use real credentials, customer PII or secrets.</t>
        </is>
      </c>
      <c r="K230" s="4" t="inlineStr">
        <is>
          <t>Release Engineer / QA Lead</t>
        </is>
      </c>
      <c r="L230" s="4" t="inlineStr">
        <is>
          <t>Isolated QA or staging; never production unless the approved smoke step explicitly says so</t>
        </is>
      </c>
      <c r="M230" s="4" t="inlineStr">
        <is>
          <t>1. Sign in as Release Engineer / QA Lead, or remain anonymous when the case requires it.
2. Record relevant UI, API and database baseline identifiers, statuses, counts and balances.
3. Use the documented page/API to verify that required secrets exist without appearing in build output.
4. Refresh or repeat through an independent client where concurrency, polling or idempotency applies.
5. Compare the outcome, scope, audit fields and side effects with the expected result; capture evidence.</t>
        </is>
      </c>
      <c r="N230" s="4" t="inlineStr">
        <is>
          <t>The release candidate demonstrates the specified behavior exactly and only within the actor's authorized scope: Required secrets exist without appearing in build output. No unrelated record changes.</t>
        </is>
      </c>
      <c r="O230" s="4" t="inlineStr">
        <is>
          <t>Reverse only synthetic changes through supported UI/API, or restore the approved isolated snapshot; confirm no residual locks, sessions, occupied tables or stock deltas.</t>
        </is>
      </c>
      <c r="P230" s="4" t="inlineStr">
        <is>
          <t>Yes</t>
        </is>
      </c>
      <c r="Q230" s="4" t="inlineStr">
        <is>
          <t>Timestamped screenshots for UI; request/response with secrets redacted for API; query IDs/counts/balances for transactions; export/build artifact or monitoring trace where applicable.</t>
        </is>
      </c>
      <c r="R230" s="4" t="inlineStr">
        <is>
          <t>Planned / Not Yet Executed</t>
        </is>
      </c>
      <c r="S230" s="4" t="inlineStr"/>
      <c r="T230" s="4" t="inlineStr"/>
      <c r="U230" s="4" t="inlineStr"/>
      <c r="V230" s="4" t="inlineStr"/>
      <c r="W230" s="4" t="inlineStr"/>
      <c r="X230" s="4" t="inlineStr"/>
    </row>
    <row r="231" ht="72" customHeight="1">
      <c r="A231" s="4" t="inlineStr">
        <is>
          <t>DEPLOY-004</t>
        </is>
      </c>
      <c r="B231" s="4" t="inlineStr">
        <is>
          <t>Deployment &amp; Smoke</t>
        </is>
      </c>
      <c r="C231" s="4" t="inlineStr">
        <is>
          <t>NFR-07, NFR-03</t>
        </is>
      </c>
      <c r="D231" s="4" t="inlineStr">
        <is>
          <t>TLS CORS Swagger seed and health policies match production configuration</t>
        </is>
      </c>
      <c r="E231" s="4" t="inlineStr">
        <is>
          <t>Verify, without assuming a pass result, that the release candidate correctly enforces: TLS CORS Swagger seed and health policies match production configuration.</t>
        </is>
      </c>
      <c r="F231" s="4" t="inlineStr">
        <is>
          <t>Positive</t>
        </is>
      </c>
      <c r="G231" s="4" t="inlineStr">
        <is>
          <t>Medium</t>
        </is>
      </c>
      <c r="H231" s="4" t="inlineStr">
        <is>
          <t>Medium</t>
        </is>
      </c>
      <c r="I231" s="4" t="inlineStr">
        <is>
          <t>Release candidate is deployed to staging with production-equivalent configuration.</t>
        </is>
      </c>
      <c r="J231" s="4" t="inlineStr">
        <is>
          <t>Use only named synthetic records from the Test Data Plan; capture generated IDs and baseline values in evidence. Never use real credentials, customer PII or secrets.</t>
        </is>
      </c>
      <c r="K231" s="4" t="inlineStr">
        <is>
          <t>Release Engineer / QA Lead</t>
        </is>
      </c>
      <c r="L231" s="4" t="inlineStr">
        <is>
          <t>Isolated QA or staging; never production unless the approved smoke step explicitly says so</t>
        </is>
      </c>
      <c r="M231" s="4" t="inlineStr">
        <is>
          <t>1. Sign in as Release Engineer / QA Lead, or remain anonymous when the case requires it.
2. Record relevant UI, API and database baseline identifiers, statuses, counts and balances.
3. Use the documented page/API to verify that tLS CORS Swagger seed and health policies match production configuration.
4. Refresh or repeat through an independent client where concurrency, polling or idempotency applies.
5. Compare the outcome, scope, audit fields and side effects with the expected result; capture evidence.</t>
        </is>
      </c>
      <c r="N231" s="4" t="inlineStr">
        <is>
          <t>The release candidate demonstrates the specified behavior exactly and only within the actor's authorized scope: TLS CORS Swagger seed and health policies match production configuration. No unrelated record changes.</t>
        </is>
      </c>
      <c r="O231" s="4" t="inlineStr">
        <is>
          <t>Reverse only synthetic changes through supported UI/API, or restore the approved isolated snapshot; confirm no residual locks, sessions, occupied tables or stock deltas.</t>
        </is>
      </c>
      <c r="P231" s="4" t="inlineStr">
        <is>
          <t>Yes</t>
        </is>
      </c>
      <c r="Q231" s="4" t="inlineStr">
        <is>
          <t>Timestamped screenshots for UI; request/response with secrets redacted for API; query IDs/counts/balances for transactions; export/build artifact or monitoring trace where applicable.</t>
        </is>
      </c>
      <c r="R231" s="4" t="inlineStr">
        <is>
          <t>Planned / Not Yet Executed</t>
        </is>
      </c>
      <c r="S231" s="4" t="inlineStr"/>
      <c r="T231" s="4" t="inlineStr"/>
      <c r="U231" s="4" t="inlineStr"/>
      <c r="V231" s="4" t="inlineStr"/>
      <c r="W231" s="4" t="inlineStr"/>
      <c r="X231" s="4" t="inlineStr"/>
    </row>
    <row r="232" ht="72" customHeight="1">
      <c r="A232" s="4" t="inlineStr">
        <is>
          <t>DEPLOY-005</t>
        </is>
      </c>
      <c r="B232" s="4" t="inlineStr">
        <is>
          <t>Deployment &amp; Smoke</t>
        </is>
      </c>
      <c r="C232" s="4" t="inlineStr">
        <is>
          <t>NFR-07, NFR-03</t>
        </is>
      </c>
      <c r="D232" s="4" t="inlineStr">
        <is>
          <t>Post-deploy login role and isolation smoke succeeds</t>
        </is>
      </c>
      <c r="E232" s="4" t="inlineStr">
        <is>
          <t>Verify, without assuming a pass result, that the release candidate correctly enforces: Post-deploy login role and isolation smoke succeeds.</t>
        </is>
      </c>
      <c r="F232" s="4" t="inlineStr">
        <is>
          <t>Authorization</t>
        </is>
      </c>
      <c r="G232" s="4" t="inlineStr">
        <is>
          <t>Critical</t>
        </is>
      </c>
      <c r="H232" s="4" t="inlineStr">
        <is>
          <t>Critical</t>
        </is>
      </c>
      <c r="I232" s="4" t="inlineStr">
        <is>
          <t>Release candidate is deployed to staging with production-equivalent configuration.</t>
        </is>
      </c>
      <c r="J232" s="4" t="inlineStr">
        <is>
          <t>Use only named synthetic records from the Test Data Plan; capture generated IDs and baseline values in evidence. Never use real credentials, customer PII or secrets.</t>
        </is>
      </c>
      <c r="K232" s="4" t="inlineStr">
        <is>
          <t>Release Engineer / QA Lead</t>
        </is>
      </c>
      <c r="L232" s="4" t="inlineStr">
        <is>
          <t>Isolated QA or staging; never production unless the approved smoke step explicitly says so</t>
        </is>
      </c>
      <c r="M232" s="4" t="inlineStr">
        <is>
          <t>1. Sign in as Release Engineer / QA Lead, or remain anonymous when the case requires it.
2. Record relevant UI, API and database baseline identifiers, statuses, counts and balances.
3. Use the documented page/API to verify that post-deploy login role and isolation smoke succeeds.
4. Refresh or repeat through an independent client where concurrency, polling or idempotency applies.
5. Compare the outcome, scope, audit fields and side effects with the expected result; capture evidence.</t>
        </is>
      </c>
      <c r="N232" s="4" t="inlineStr">
        <is>
          <t>The release candidate demonstrates the specified behavior exactly and only within the actor's authorized scope: Post-deploy login role and isolation smoke succeeds. No unrelated record changes.</t>
        </is>
      </c>
      <c r="O232" s="4" t="inlineStr">
        <is>
          <t>Reverse only synthetic changes through supported UI/API, or restore the approved isolated snapshot; confirm no residual locks, sessions, occupied tables or stock deltas.</t>
        </is>
      </c>
      <c r="P232" s="4" t="inlineStr">
        <is>
          <t>Yes</t>
        </is>
      </c>
      <c r="Q232" s="4" t="inlineStr">
        <is>
          <t>Timestamped screenshots for UI; request/response with secrets redacted for API; query IDs/counts/balances for transactions; export/build artifact or monitoring trace where applicable.</t>
        </is>
      </c>
      <c r="R232" s="4" t="inlineStr">
        <is>
          <t>Planned / Not Yet Executed</t>
        </is>
      </c>
      <c r="S232" s="4" t="inlineStr"/>
      <c r="T232" s="4" t="inlineStr"/>
      <c r="U232" s="4" t="inlineStr"/>
      <c r="V232" s="4" t="inlineStr"/>
      <c r="W232" s="4" t="inlineStr"/>
      <c r="X232" s="4" t="inlineStr"/>
    </row>
    <row r="233" ht="72" customHeight="1">
      <c r="A233" s="4" t="inlineStr">
        <is>
          <t>DEPLOY-006</t>
        </is>
      </c>
      <c r="B233" s="4" t="inlineStr">
        <is>
          <t>Deployment &amp; Smoke</t>
        </is>
      </c>
      <c r="C233" s="4" t="inlineStr">
        <is>
          <t>NFR-07, NFR-03</t>
        </is>
      </c>
      <c r="D233" s="4" t="inlineStr">
        <is>
          <t>Post-deploy order kitchen payment and table-release smoke succeeds</t>
        </is>
      </c>
      <c r="E233" s="4" t="inlineStr">
        <is>
          <t>Verify, without assuming a pass result, that the release candidate correctly enforces: Post-deploy order kitchen payment and table-release smoke succeeds.</t>
        </is>
      </c>
      <c r="F233" s="4" t="inlineStr">
        <is>
          <t>Integration</t>
        </is>
      </c>
      <c r="G233" s="4" t="inlineStr">
        <is>
          <t>Critical</t>
        </is>
      </c>
      <c r="H233" s="4" t="inlineStr">
        <is>
          <t>Critical</t>
        </is>
      </c>
      <c r="I233" s="4" t="inlineStr">
        <is>
          <t>Release candidate is deployed to staging with production-equivalent configuration.</t>
        </is>
      </c>
      <c r="J233" s="4" t="inlineStr">
        <is>
          <t>Use only named synthetic records from the Test Data Plan; capture generated IDs and baseline values in evidence. Never use real credentials, customer PII or secrets.</t>
        </is>
      </c>
      <c r="K233" s="4" t="inlineStr">
        <is>
          <t>Release Engineer / QA Lead</t>
        </is>
      </c>
      <c r="L233" s="4" t="inlineStr">
        <is>
          <t>Isolated QA or staging; never production unless the approved smoke step explicitly says so</t>
        </is>
      </c>
      <c r="M233" s="4" t="inlineStr">
        <is>
          <t>1. Sign in as Release Engineer / QA Lead, or remain anonymous when the case requires it.
2. Record relevant UI, API and database baseline identifiers, statuses, counts and balances.
3. Use the documented page/API to verify that post-deploy order kitchen payment and table-release smoke succeeds.
4. Refresh or repeat through an independent client where concurrency, polling or idempotency applies.
5. Compare the outcome, scope, audit fields and side effects with the expected result; capture evidence.</t>
        </is>
      </c>
      <c r="N233" s="4" t="inlineStr">
        <is>
          <t>The release candidate demonstrates the specified behavior exactly and only within the actor's authorized scope: Post-deploy order kitchen payment and table-release smoke succeeds. No unrelated record changes.</t>
        </is>
      </c>
      <c r="O233" s="4" t="inlineStr">
        <is>
          <t>Reverse only synthetic changes through supported UI/API, or restore the approved isolated snapshot; confirm no residual locks, sessions, occupied tables or stock deltas.</t>
        </is>
      </c>
      <c r="P233" s="4" t="inlineStr">
        <is>
          <t>Yes</t>
        </is>
      </c>
      <c r="Q233" s="4" t="inlineStr">
        <is>
          <t>Timestamped screenshots for UI; request/response with secrets redacted for API; query IDs/counts/balances for transactions; export/build artifact or monitoring trace where applicable.</t>
        </is>
      </c>
      <c r="R233" s="4" t="inlineStr">
        <is>
          <t>Planned / Not Yet Executed</t>
        </is>
      </c>
      <c r="S233" s="4" t="inlineStr"/>
      <c r="T233" s="4" t="inlineStr"/>
      <c r="U233" s="4" t="inlineStr"/>
      <c r="V233" s="4" t="inlineStr"/>
      <c r="W233" s="4" t="inlineStr"/>
      <c r="X233" s="4" t="inlineStr"/>
    </row>
    <row r="234" ht="72" customHeight="1">
      <c r="A234" s="4" t="inlineStr">
        <is>
          <t>DEPLOY-007</t>
        </is>
      </c>
      <c r="B234" s="4" t="inlineStr">
        <is>
          <t>Deployment &amp; Smoke</t>
        </is>
      </c>
      <c r="C234" s="4" t="inlineStr">
        <is>
          <t>NFR-07, NFR-03</t>
        </is>
      </c>
      <c r="D234" s="4" t="inlineStr">
        <is>
          <t>Post-deploy inventory transfer report and export smoke succeeds</t>
        </is>
      </c>
      <c r="E234" s="4" t="inlineStr">
        <is>
          <t>Verify, without assuming a pass result, that the release candidate correctly enforces: Post-deploy inventory transfer report and export smoke succeeds.</t>
        </is>
      </c>
      <c r="F234" s="4" t="inlineStr">
        <is>
          <t>Positive</t>
        </is>
      </c>
      <c r="G234" s="4" t="inlineStr">
        <is>
          <t>Medium</t>
        </is>
      </c>
      <c r="H234" s="4" t="inlineStr">
        <is>
          <t>Medium</t>
        </is>
      </c>
      <c r="I234" s="4" t="inlineStr">
        <is>
          <t>Release candidate is deployed to staging with production-equivalent configuration.</t>
        </is>
      </c>
      <c r="J234" s="4" t="inlineStr">
        <is>
          <t>Use only named synthetic records from the Test Data Plan; capture generated IDs and baseline values in evidence. Never use real credentials, customer PII or secrets.</t>
        </is>
      </c>
      <c r="K234" s="4" t="inlineStr">
        <is>
          <t>Release Engineer / QA Lead</t>
        </is>
      </c>
      <c r="L234" s="4" t="inlineStr">
        <is>
          <t>Isolated QA or staging; never production unless the approved smoke step explicitly says so</t>
        </is>
      </c>
      <c r="M234" s="4" t="inlineStr">
        <is>
          <t>1. Sign in as Release Engineer / QA Lead, or remain anonymous when the case requires it.
2. Record relevant UI, API and database baseline identifiers, statuses, counts and balances.
3. Use the documented page/API to verify that post-deploy inventory transfer report and export smoke succeeds.
4. Refresh or repeat through an independent client where concurrency, polling or idempotency applies.
5. Compare the outcome, scope, audit fields and side effects with the expected result; capture evidence.</t>
        </is>
      </c>
      <c r="N234" s="4" t="inlineStr">
        <is>
          <t>The release candidate demonstrates the specified behavior exactly and only within the actor's authorized scope: Post-deploy inventory transfer report and export smoke succeeds. No unrelated record changes.</t>
        </is>
      </c>
      <c r="O234" s="4" t="inlineStr">
        <is>
          <t>Reverse only synthetic changes through supported UI/API, or restore the approved isolated snapshot; confirm no residual locks, sessions, occupied tables or stock deltas.</t>
        </is>
      </c>
      <c r="P234" s="4" t="inlineStr">
        <is>
          <t>Yes</t>
        </is>
      </c>
      <c r="Q234" s="4" t="inlineStr">
        <is>
          <t>Timestamped screenshots for UI; request/response with secrets redacted for API; query IDs/counts/balances for transactions; export/build artifact or monitoring trace where applicable.</t>
        </is>
      </c>
      <c r="R234" s="4" t="inlineStr">
        <is>
          <t>Planned / Not Yet Executed</t>
        </is>
      </c>
      <c r="S234" s="4" t="inlineStr"/>
      <c r="T234" s="4" t="inlineStr"/>
      <c r="U234" s="4" t="inlineStr"/>
      <c r="V234" s="4" t="inlineStr"/>
      <c r="W234" s="4" t="inlineStr"/>
      <c r="X234" s="4" t="inlineStr"/>
    </row>
    <row r="235" ht="72" customHeight="1">
      <c r="A235" s="4" t="inlineStr">
        <is>
          <t>DEPLOY-008</t>
        </is>
      </c>
      <c r="B235" s="4" t="inlineStr">
        <is>
          <t>Deployment &amp; Smoke</t>
        </is>
      </c>
      <c r="C235" s="4" t="inlineStr">
        <is>
          <t>NFR-07, NFR-03</t>
        </is>
      </c>
      <c r="D235" s="4" t="inlineStr">
        <is>
          <t>Failed mandatory smoke triggers documented rollback</t>
        </is>
      </c>
      <c r="E235" s="4" t="inlineStr">
        <is>
          <t>Verify, without assuming a pass result, that the release candidate correctly enforces: Failed mandatory smoke triggers documented rollback.</t>
        </is>
      </c>
      <c r="F235" s="4" t="inlineStr">
        <is>
          <t>Positive</t>
        </is>
      </c>
      <c r="G235" s="4" t="inlineStr">
        <is>
          <t>Critical</t>
        </is>
      </c>
      <c r="H235" s="4" t="inlineStr">
        <is>
          <t>Critical</t>
        </is>
      </c>
      <c r="I235" s="4" t="inlineStr">
        <is>
          <t>Release candidate is deployed to staging with production-equivalent configuration.</t>
        </is>
      </c>
      <c r="J235" s="4" t="inlineStr">
        <is>
          <t>Use only named synthetic records from the Test Data Plan; capture generated IDs and baseline values in evidence. Never use real credentials, customer PII or secrets.</t>
        </is>
      </c>
      <c r="K235" s="4" t="inlineStr">
        <is>
          <t>Release Engineer / QA Lead</t>
        </is>
      </c>
      <c r="L235" s="4" t="inlineStr">
        <is>
          <t>Isolated QA or staging; never production unless the approved smoke step explicitly says so</t>
        </is>
      </c>
      <c r="M235" s="4" t="inlineStr">
        <is>
          <t>1. Sign in as Release Engineer / QA Lead, or remain anonymous when the case requires it.
2. Record relevant UI, API and database baseline identifiers, statuses, counts and balances.
3. Use the documented page/API to verify that failed mandatory smoke triggers documented rollback.
4. Refresh or repeat through an independent client where concurrency, polling or idempotency applies.
5. Compare the outcome, scope, audit fields and side effects with the expected result; capture evidence.</t>
        </is>
      </c>
      <c r="N235" s="4" t="inlineStr">
        <is>
          <t>The release candidate demonstrates the specified behavior exactly and only within the actor's authorized scope: Failed mandatory smoke triggers documented rollback. No unrelated record changes.</t>
        </is>
      </c>
      <c r="O235" s="4" t="inlineStr">
        <is>
          <t>Reverse only synthetic changes through supported UI/API, or restore the approved isolated snapshot; confirm no residual locks, sessions, occupied tables or stock deltas.</t>
        </is>
      </c>
      <c r="P235" s="4" t="inlineStr">
        <is>
          <t>Yes</t>
        </is>
      </c>
      <c r="Q235" s="4" t="inlineStr">
        <is>
          <t>Timestamped screenshots for UI; request/response with secrets redacted for API; query IDs/counts/balances for transactions; export/build artifact or monitoring trace where applicable.</t>
        </is>
      </c>
      <c r="R235" s="4" t="inlineStr">
        <is>
          <t>Planned / Not Yet Executed</t>
        </is>
      </c>
      <c r="S235" s="4" t="inlineStr"/>
      <c r="T235" s="4" t="inlineStr"/>
      <c r="U235" s="4" t="inlineStr"/>
      <c r="V235" s="4" t="inlineStr"/>
      <c r="W235" s="4" t="inlineStr"/>
      <c r="X235" s="4" t="inlineStr"/>
    </row>
    <row r="236" ht="72" customHeight="1">
      <c r="A236" s="4" t="inlineStr">
        <is>
          <t>UAT-001</t>
        </is>
      </c>
      <c r="B236" s="4" t="inlineStr">
        <is>
          <t>UAT &amp; Release Sign-off</t>
        </is>
      </c>
      <c r="C236" s="4" t="inlineStr">
        <is>
          <t>FR-O02, FR-P02, FR-I09, NFR-04</t>
        </is>
      </c>
      <c r="D236" s="4" t="inlineStr">
        <is>
          <t>Business users accept the end-to-end service workflow</t>
        </is>
      </c>
      <c r="E236" s="4" t="inlineStr">
        <is>
          <t>Verify, without assuming a pass result, that the release candidate correctly enforces: Business users accept the end-to-end service workflow.</t>
        </is>
      </c>
      <c r="F236" s="4" t="inlineStr">
        <is>
          <t>Integration</t>
        </is>
      </c>
      <c r="G236" s="4" t="inlineStr">
        <is>
          <t>Medium</t>
        </is>
      </c>
      <c r="H236" s="4" t="inlineStr">
        <is>
          <t>Medium</t>
        </is>
      </c>
      <c r="I236" s="4" t="inlineStr">
        <is>
          <t>Mandatory QA cycles are complete and UAT users have approved synthetic scenarios.</t>
        </is>
      </c>
      <c r="J236" s="4" t="inlineStr">
        <is>
          <t>Use only named synthetic records from the Test Data Plan; capture generated IDs and baseline values in evidence. Never use real credentials, customer PII or secrets.</t>
        </is>
      </c>
      <c r="K236" s="4" t="inlineStr">
        <is>
          <t>Business Owner / Department leads</t>
        </is>
      </c>
      <c r="L236" s="4" t="inlineStr">
        <is>
          <t>Restaurant A / Branch A1 unless the case explicitly tests another scope</t>
        </is>
      </c>
      <c r="M236" s="4" t="inlineStr">
        <is>
          <t>1. Sign in as Business Owner / Department leads, or remain anonymous when the case requires it.
2. Record relevant UI, API and database baseline identifiers, statuses, counts and balances.
3. Use the documented page/API to verify that business users accept the end-to-end service workflow.
4. Refresh or repeat through an independent client where concurrency, polling or idempotency applies.
5. Compare the outcome, scope, audit fields and side effects with the expected result; capture evidence.</t>
        </is>
      </c>
      <c r="N236" s="4" t="inlineStr">
        <is>
          <t>The release candidate demonstrates the specified behavior exactly and only within the actor's authorized scope: Business users accept the end-to-end service workflow. No unrelated record changes.</t>
        </is>
      </c>
      <c r="O236" s="4" t="inlineStr">
        <is>
          <t>Reverse only synthetic changes through supported UI/API, or restore the approved isolated snapshot; confirm no residual locks, sessions, occupied tables or stock deltas.</t>
        </is>
      </c>
      <c r="P236" s="4" t="inlineStr">
        <is>
          <t>Partial</t>
        </is>
      </c>
      <c r="Q236" s="4" t="inlineStr">
        <is>
          <t>Timestamped screenshots for UI; request/response with secrets redacted for API; query IDs/counts/balances for transactions; export/build artifact or monitoring trace where applicable.</t>
        </is>
      </c>
      <c r="R236" s="4" t="inlineStr">
        <is>
          <t>Planned / Not Yet Executed</t>
        </is>
      </c>
      <c r="S236" s="4" t="inlineStr"/>
      <c r="T236" s="4" t="inlineStr"/>
      <c r="U236" s="4" t="inlineStr"/>
      <c r="V236" s="4" t="inlineStr"/>
      <c r="W236" s="4" t="inlineStr"/>
      <c r="X236" s="4" t="inlineStr"/>
    </row>
    <row r="237" ht="72" customHeight="1">
      <c r="A237" s="4" t="inlineStr">
        <is>
          <t>UAT-002</t>
        </is>
      </c>
      <c r="B237" s="4" t="inlineStr">
        <is>
          <t>UAT &amp; Release Sign-off</t>
        </is>
      </c>
      <c r="C237" s="4" t="inlineStr">
        <is>
          <t>FR-O02, FR-P02, FR-I09, NFR-04</t>
        </is>
      </c>
      <c r="D237" s="4" t="inlineStr">
        <is>
          <t>Store teams accept both distinct request workflows</t>
        </is>
      </c>
      <c r="E237" s="4" t="inlineStr">
        <is>
          <t>Verify, without assuming a pass result, that the release candidate correctly enforces: Store teams accept both distinct request workflows.</t>
        </is>
      </c>
      <c r="F237" s="4" t="inlineStr">
        <is>
          <t>Integration</t>
        </is>
      </c>
      <c r="G237" s="4" t="inlineStr">
        <is>
          <t>Medium</t>
        </is>
      </c>
      <c r="H237" s="4" t="inlineStr">
        <is>
          <t>Medium</t>
        </is>
      </c>
      <c r="I237" s="4" t="inlineStr">
        <is>
          <t>Mandatory QA cycles are complete and UAT users have approved synthetic scenarios.</t>
        </is>
      </c>
      <c r="J237" s="4" t="inlineStr">
        <is>
          <t>Use only named synthetic records from the Test Data Plan; capture generated IDs and baseline values in evidence. Never use real credentials, customer PII or secrets.</t>
        </is>
      </c>
      <c r="K237" s="4" t="inlineStr">
        <is>
          <t>Business Owner / Department leads</t>
        </is>
      </c>
      <c r="L237" s="4" t="inlineStr">
        <is>
          <t>Restaurant A / Branch A1 unless the case explicitly tests another scope</t>
        </is>
      </c>
      <c r="M237" s="4" t="inlineStr">
        <is>
          <t>1. Sign in as Business Owner / Department leads, or remain anonymous when the case requires it.
2. Record relevant UI, API and database baseline identifiers, statuses, counts and balances.
3. Use the documented page/API to verify that store teams accept both distinct request workflows.
4. Refresh or repeat through an independent client where concurrency, polling or idempotency applies.
5. Compare the outcome, scope, audit fields and side effects with the expected result; capture evidence.</t>
        </is>
      </c>
      <c r="N237" s="4" t="inlineStr">
        <is>
          <t>The release candidate demonstrates the specified behavior exactly and only within the actor's authorized scope: Store teams accept both distinct request workflows. No unrelated record changes.</t>
        </is>
      </c>
      <c r="O237" s="4" t="inlineStr">
        <is>
          <t>Reverse only synthetic changes through supported UI/API, or restore the approved isolated snapshot; confirm no residual locks, sessions, occupied tables or stock deltas.</t>
        </is>
      </c>
      <c r="P237" s="4" t="inlineStr">
        <is>
          <t>Partial</t>
        </is>
      </c>
      <c r="Q237" s="4" t="inlineStr">
        <is>
          <t>Timestamped screenshots for UI; request/response with secrets redacted for API; query IDs/counts/balances for transactions; export/build artifact or monitoring trace where applicable.</t>
        </is>
      </c>
      <c r="R237" s="4" t="inlineStr">
        <is>
          <t>Planned / Not Yet Executed</t>
        </is>
      </c>
      <c r="S237" s="4" t="inlineStr"/>
      <c r="T237" s="4" t="inlineStr"/>
      <c r="U237" s="4" t="inlineStr"/>
      <c r="V237" s="4" t="inlineStr"/>
      <c r="W237" s="4" t="inlineStr"/>
      <c r="X237" s="4" t="inlineStr"/>
    </row>
    <row r="238" ht="72" customHeight="1">
      <c r="A238" s="4" t="inlineStr">
        <is>
          <t>UAT-003</t>
        </is>
      </c>
      <c r="B238" s="4" t="inlineStr">
        <is>
          <t>UAT &amp; Release Sign-off</t>
        </is>
      </c>
      <c r="C238" s="4" t="inlineStr">
        <is>
          <t>FR-O02, FR-P02, FR-I09, NFR-04</t>
        </is>
      </c>
      <c r="D238" s="4" t="inlineStr">
        <is>
          <t>Management accepts dashboard reports totals and exports</t>
        </is>
      </c>
      <c r="E238" s="4" t="inlineStr">
        <is>
          <t>Verify, without assuming a pass result, that the release candidate correctly enforces: Management accepts dashboard reports totals and exports.</t>
        </is>
      </c>
      <c r="F238" s="4" t="inlineStr">
        <is>
          <t>Positive</t>
        </is>
      </c>
      <c r="G238" s="4" t="inlineStr">
        <is>
          <t>Medium</t>
        </is>
      </c>
      <c r="H238" s="4" t="inlineStr">
        <is>
          <t>Medium</t>
        </is>
      </c>
      <c r="I238" s="4" t="inlineStr">
        <is>
          <t>Mandatory QA cycles are complete and UAT users have approved synthetic scenarios.</t>
        </is>
      </c>
      <c r="J238" s="4" t="inlineStr">
        <is>
          <t>Use only named synthetic records from the Test Data Plan; capture generated IDs and baseline values in evidence. Never use real credentials, customer PII or secrets.</t>
        </is>
      </c>
      <c r="K238" s="4" t="inlineStr">
        <is>
          <t>Business Owner / Department leads</t>
        </is>
      </c>
      <c r="L238" s="4" t="inlineStr">
        <is>
          <t>Restaurant A / Branch A1 unless the case explicitly tests another scope</t>
        </is>
      </c>
      <c r="M238" s="4" t="inlineStr">
        <is>
          <t>1. Sign in as Business Owner / Department leads, or remain anonymous when the case requires it.
2. Record relevant UI, API and database baseline identifiers, statuses, counts and balances.
3. Use the documented page/API to verify that management accepts dashboard reports totals and exports.
4. Refresh or repeat through an independent client where concurrency, polling or idempotency applies.
5. Compare the outcome, scope, audit fields and side effects with the expected result; capture evidence.</t>
        </is>
      </c>
      <c r="N238" s="4" t="inlineStr">
        <is>
          <t>The release candidate demonstrates the specified behavior exactly and only within the actor's authorized scope: Management accepts dashboard reports totals and exports. No unrelated record changes.</t>
        </is>
      </c>
      <c r="O238" s="4" t="inlineStr">
        <is>
          <t>Reverse only synthetic changes through supported UI/API, or restore the approved isolated snapshot; confirm no residual locks, sessions, occupied tables or stock deltas.</t>
        </is>
      </c>
      <c r="P238" s="4" t="inlineStr">
        <is>
          <t>Partial</t>
        </is>
      </c>
      <c r="Q238" s="4" t="inlineStr">
        <is>
          <t>Timestamped screenshots for UI; request/response with secrets redacted for API; query IDs/counts/balances for transactions; export/build artifact or monitoring trace where applicable.</t>
        </is>
      </c>
      <c r="R238" s="4" t="inlineStr">
        <is>
          <t>Planned / Not Yet Executed</t>
        </is>
      </c>
      <c r="S238" s="4" t="inlineStr"/>
      <c r="T238" s="4" t="inlineStr"/>
      <c r="U238" s="4" t="inlineStr"/>
      <c r="V238" s="4" t="inlineStr"/>
      <c r="W238" s="4" t="inlineStr"/>
      <c r="X238" s="4" t="inlineStr"/>
    </row>
    <row r="239" ht="72" customHeight="1">
      <c r="A239" s="4" t="inlineStr">
        <is>
          <t>UAT-004</t>
        </is>
      </c>
      <c r="B239" s="4" t="inlineStr">
        <is>
          <t>UAT &amp; Release Sign-off</t>
        </is>
      </c>
      <c r="C239" s="4" t="inlineStr">
        <is>
          <t>FR-O02, FR-P02, FR-I09, NFR-04</t>
        </is>
      </c>
      <c r="D239" s="4" t="inlineStr">
        <is>
          <t>Release approval is blocked until mandatory gates are signed</t>
        </is>
      </c>
      <c r="E239" s="4" t="inlineStr">
        <is>
          <t>Verify, without assuming a pass result, that the release candidate correctly enforces: Release approval is blocked until mandatory gates are signed.</t>
        </is>
      </c>
      <c r="F239" s="4" t="inlineStr">
        <is>
          <t>Integration</t>
        </is>
      </c>
      <c r="G239" s="4" t="inlineStr">
        <is>
          <t>Medium</t>
        </is>
      </c>
      <c r="H239" s="4" t="inlineStr">
        <is>
          <t>Medium</t>
        </is>
      </c>
      <c r="I239" s="4" t="inlineStr">
        <is>
          <t>Mandatory QA cycles are complete and UAT users have approved synthetic scenarios.</t>
        </is>
      </c>
      <c r="J239" s="4" t="inlineStr">
        <is>
          <t>Use only named synthetic records from the Test Data Plan; capture generated IDs and baseline values in evidence. Never use real credentials, customer PII or secrets.</t>
        </is>
      </c>
      <c r="K239" s="4" t="inlineStr">
        <is>
          <t>Business Owner / Department leads</t>
        </is>
      </c>
      <c r="L239" s="4" t="inlineStr">
        <is>
          <t>Restaurant A / Branch A1 unless the case explicitly tests another scope</t>
        </is>
      </c>
      <c r="M239" s="4" t="inlineStr">
        <is>
          <t>1. Sign in as Business Owner / Department leads, or remain anonymous when the case requires it.
2. Record relevant UI, API and database baseline identifiers, statuses, counts and balances.
3. Use the documented page/API to verify that release approval is blocked until mandatory gates are signed.
4. Refresh or repeat through an independent client where concurrency, polling or idempotency applies.
5. Compare the outcome, scope, audit fields and side effects with the expected result; capture evidence.</t>
        </is>
      </c>
      <c r="N239" s="4" t="inlineStr">
        <is>
          <t>The release candidate demonstrates the specified behavior exactly and only within the actor's authorized scope: Release approval is blocked until mandatory gates are signed. No unrelated record changes.</t>
        </is>
      </c>
      <c r="O239" s="4" t="inlineStr">
        <is>
          <t>Reverse only synthetic changes through supported UI/API, or restore the approved isolated snapshot; confirm no residual locks, sessions, occupied tables or stock deltas.</t>
        </is>
      </c>
      <c r="P239" s="4" t="inlineStr">
        <is>
          <t>Partial</t>
        </is>
      </c>
      <c r="Q239" s="4" t="inlineStr">
        <is>
          <t>Timestamped screenshots for UI; request/response with secrets redacted for API; query IDs/counts/balances for transactions; export/build artifact or monitoring trace where applicable.</t>
        </is>
      </c>
      <c r="R239" s="4" t="inlineStr">
        <is>
          <t>Planned / Not Yet Executed</t>
        </is>
      </c>
      <c r="S239" s="4" t="inlineStr"/>
      <c r="T239" s="4" t="inlineStr"/>
      <c r="U239" s="4" t="inlineStr"/>
      <c r="V239" s="4" t="inlineStr"/>
      <c r="W239" s="4" t="inlineStr"/>
      <c r="X239" s="4" t="inlineStr"/>
    </row>
  </sheetData>
  <autoFilter ref="A1:X239"/>
  <conditionalFormatting sqref="R2:R239">
    <cfRule type="expression" priority="1" dxfId="1">
      <formula>R2="Passed"</formula>
    </cfRule>
    <cfRule type="expression" priority="2" dxfId="0">
      <formula>OR(R2="Failed",R2="Blocked")</formula>
    </cfRule>
    <cfRule type="expression" priority="3" dxfId="2">
      <formula>OR(R2="Planned / Not Yet Executed",R2="Not Run")</formula>
    </cfRule>
  </conditionalFormatting>
  <dataValidations count="5">
    <dataValidation sqref="F2:F5000" showDropDown="0" showInputMessage="0" showErrorMessage="0" allowBlank="0" type="list">
      <formula1>"Positive,Negative,Boundary,Authorization,Integration,Regression,Recovery,Accessibility,Performance,Security"</formula1>
    </dataValidation>
    <dataValidation sqref="G2:G5000" showDropDown="0" showInputMessage="0" showErrorMessage="0" allowBlank="0" type="list">
      <formula1>"Critical,High,Medium,Low"</formula1>
    </dataValidation>
    <dataValidation sqref="H2:H5000" showDropDown="0" showInputMessage="0" showErrorMessage="0" allowBlank="0" type="list">
      <formula1>"Critical,High,Medium,Low"</formula1>
    </dataValidation>
    <dataValidation sqref="P2:P5000" showDropDown="0" showInputMessage="0" showErrorMessage="0" allowBlank="0" type="list">
      <formula1>"Yes,No,Partial"</formula1>
    </dataValidation>
    <dataValidation sqref="R2:R5000" showDropDown="0" showInputMessage="0" showErrorMessage="0" allowBlank="0" type="list">
      <formula1>"Planned / Not Yet Executed,Not Run,In Progress,Passed,Failed,Blocked,Not Applicable"</formula1>
    </dataValidation>
  </dataValidations>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M13"/>
  <sheetViews>
    <sheetView showGridLines="0" workbookViewId="0">
      <pane ySplit="4" topLeftCell="A5" activePane="bottomLeft" state="frozen"/>
      <selection pane="bottomLeft" activeCell="A1" sqref="A1"/>
    </sheetView>
  </sheetViews>
  <sheetFormatPr baseColWidth="8" defaultRowHeight="15"/>
  <cols>
    <col width="22" customWidth="1" min="1" max="1"/>
    <col width="2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Role &amp; Access Matrix</t>
        </is>
      </c>
    </row>
    <row r="2">
      <c r="A2" s="2" t="inlineStr">
        <is>
          <t>UI visibility is not authorization evidence. Verify each allowed, scoped and denied action against the backend.</t>
        </is>
      </c>
    </row>
    <row r="3"/>
    <row r="4">
      <c r="A4" s="3" t="inlineStr">
        <is>
          <t>Role</t>
        </is>
      </c>
      <c r="B4" s="3" t="inlineStr">
        <is>
          <t>Landing / core access</t>
        </is>
      </c>
      <c r="C4" s="3" t="inlineStr">
        <is>
          <t>Dashboard</t>
        </is>
      </c>
      <c r="D4" s="3" t="inlineStr">
        <is>
          <t>Orders/POS</t>
        </is>
      </c>
      <c r="E4" s="3" t="inlineStr">
        <is>
          <t>Coordinator actions</t>
        </is>
      </c>
      <c r="F4" s="3" t="inlineStr">
        <is>
          <t>Kitchen</t>
        </is>
      </c>
      <c r="G4" s="3" t="inlineStr">
        <is>
          <t>Payments</t>
        </is>
      </c>
      <c r="H4" s="3" t="inlineStr">
        <is>
          <t>Menu/Tables</t>
        </is>
      </c>
      <c r="I4" s="3" t="inlineStr">
        <is>
          <t>Staff/Branches</t>
        </is>
      </c>
      <c r="J4" s="3" t="inlineStr">
        <is>
          <t>Branch Inventory / Item Requests</t>
        </is>
      </c>
      <c r="K4" s="3" t="inlineStr">
        <is>
          <t>Main Store request</t>
        </is>
      </c>
      <c r="L4" s="3" t="inlineStr">
        <is>
          <t>Decision</t>
        </is>
      </c>
      <c r="M4" s="3" t="inlineStr">
        <is>
          <t>Fulfillment</t>
        </is>
      </c>
    </row>
    <row r="5">
      <c r="A5" s="4" t="inlineStr">
        <is>
          <t>Admin</t>
        </is>
      </c>
      <c r="B5" s="4" t="inlineStr">
        <is>
          <t>Dashboard</t>
        </is>
      </c>
      <c r="C5" s="4" t="inlineStr">
        <is>
          <t>Allowed</t>
        </is>
      </c>
      <c r="D5" s="4" t="inlineStr">
        <is>
          <t>Management visibility</t>
        </is>
      </c>
      <c r="E5" s="4" t="inlineStr">
        <is>
          <t>As configured</t>
        </is>
      </c>
      <c r="F5" s="4" t="inlineStr">
        <is>
          <t>Management visibility</t>
        </is>
      </c>
      <c r="G5" s="4" t="inlineStr">
        <is>
          <t>Management visibility</t>
        </is>
      </c>
      <c r="H5" s="4" t="inlineStr">
        <is>
          <t>Allowed</t>
        </is>
      </c>
      <c r="I5" s="4" t="inlineStr">
        <is>
          <t>Allowed</t>
        </is>
      </c>
      <c r="J5" s="4" t="inlineStr">
        <is>
          <t>Allowed</t>
        </is>
      </c>
      <c r="K5" s="4" t="inlineStr">
        <is>
          <t>Restaurant oversight</t>
        </is>
      </c>
      <c r="L5" s="4" t="inlineStr">
        <is>
          <t>As authorized</t>
        </is>
      </c>
      <c r="M5" s="4" t="inlineStr">
        <is>
          <t>Denied unless branchless storekeeper</t>
        </is>
      </c>
    </row>
    <row r="6">
      <c r="A6" s="4" t="inlineStr">
        <is>
          <t>Owner</t>
        </is>
      </c>
      <c r="B6" s="4" t="inlineStr">
        <is>
          <t>Dashboard</t>
        </is>
      </c>
      <c r="C6" s="4" t="inlineStr">
        <is>
          <t>Allowed</t>
        </is>
      </c>
      <c r="D6" s="4" t="inlineStr">
        <is>
          <t>Restaurant visibility</t>
        </is>
      </c>
      <c r="E6" s="4" t="inlineStr">
        <is>
          <t>Management visibility</t>
        </is>
      </c>
      <c r="F6" s="4" t="inlineStr">
        <is>
          <t>Management visibility</t>
        </is>
      </c>
      <c r="G6" s="4" t="inlineStr">
        <is>
          <t>Reports only</t>
        </is>
      </c>
      <c r="H6" s="4" t="inlineStr">
        <is>
          <t>Allowed</t>
        </is>
      </c>
      <c r="I6" s="4" t="inlineStr">
        <is>
          <t>Restaurant management</t>
        </is>
      </c>
      <c r="J6" s="4" t="inlineStr">
        <is>
          <t>Restaurant visibility</t>
        </is>
      </c>
      <c r="K6" s="4" t="inlineStr">
        <is>
          <t>Restaurant visibility</t>
        </is>
      </c>
      <c r="L6" s="4" t="inlineStr">
        <is>
          <t>Allowed: same restaurant</t>
        </is>
      </c>
      <c r="M6" s="4" t="inlineStr">
        <is>
          <t>Denied</t>
        </is>
      </c>
    </row>
    <row r="7">
      <c r="A7" s="4" t="inlineStr">
        <is>
          <t>Manager</t>
        </is>
      </c>
      <c r="B7" s="4" t="inlineStr">
        <is>
          <t>Dashboard</t>
        </is>
      </c>
      <c r="C7" s="4" t="inlineStr">
        <is>
          <t>Allowed</t>
        </is>
      </c>
      <c r="D7" s="4" t="inlineStr">
        <is>
          <t>Assigned branch</t>
        </is>
      </c>
      <c r="E7" s="4" t="inlineStr">
        <is>
          <t>Operational visibility</t>
        </is>
      </c>
      <c r="F7" s="4" t="inlineStr">
        <is>
          <t>Operational visibility</t>
        </is>
      </c>
      <c r="G7" s="4" t="inlineStr">
        <is>
          <t>Reports/oversight</t>
        </is>
      </c>
      <c r="H7" s="4" t="inlineStr">
        <is>
          <t>Allowed</t>
        </is>
      </c>
      <c r="I7" s="4" t="inlineStr">
        <is>
          <t>Assigned branch</t>
        </is>
      </c>
      <c r="J7" s="4" t="inlineStr">
        <is>
          <t>Assigned branch</t>
        </is>
      </c>
      <c r="K7" s="4" t="inlineStr">
        <is>
          <t>Assigned branch only</t>
        </is>
      </c>
      <c r="L7" s="4" t="inlineStr">
        <is>
          <t>Allowed: destination branch</t>
        </is>
      </c>
      <c r="M7" s="4" t="inlineStr">
        <is>
          <t>Denied</t>
        </is>
      </c>
    </row>
    <row r="8">
      <c r="A8" s="4" t="inlineStr">
        <is>
          <t>Coordinator</t>
        </is>
      </c>
      <c r="B8" s="4" t="inlineStr">
        <is>
          <t>Orders</t>
        </is>
      </c>
      <c r="C8" s="4" t="inlineStr">
        <is>
          <t>Denied</t>
        </is>
      </c>
      <c r="D8" s="4" t="inlineStr">
        <is>
          <t>Assigned branch list</t>
        </is>
      </c>
      <c r="E8" s="4" t="inlineStr">
        <is>
          <t>Confirm/assign/cancel</t>
        </is>
      </c>
      <c r="F8" s="4" t="inlineStr">
        <is>
          <t>Progress visibility</t>
        </is>
      </c>
      <c r="G8" s="4" t="inlineStr">
        <is>
          <t>Denied</t>
        </is>
      </c>
      <c r="H8" s="4" t="inlineStr">
        <is>
          <t>Denied</t>
        </is>
      </c>
      <c r="I8" s="4" t="inlineStr">
        <is>
          <t>Denied</t>
        </is>
      </c>
      <c r="J8" s="4" t="inlineStr">
        <is>
          <t>Denied</t>
        </is>
      </c>
      <c r="K8" s="4" t="inlineStr">
        <is>
          <t>Denied</t>
        </is>
      </c>
      <c r="L8" s="4" t="inlineStr">
        <is>
          <t>Denied</t>
        </is>
      </c>
      <c r="M8" s="4" t="inlineStr">
        <is>
          <t>Denied</t>
        </is>
      </c>
    </row>
    <row r="9">
      <c r="A9" s="4" t="inlineStr">
        <is>
          <t>Waiter</t>
        </is>
      </c>
      <c r="B9" s="4" t="inlineStr">
        <is>
          <t>Orders/POS</t>
        </is>
      </c>
      <c r="C9" s="4" t="inlineStr">
        <is>
          <t>Denied</t>
        </is>
      </c>
      <c r="D9" s="4" t="inlineStr">
        <is>
          <t>Create/append/serve in branch</t>
        </is>
      </c>
      <c r="E9" s="4" t="inlineStr">
        <is>
          <t>Denied</t>
        </is>
      </c>
      <c r="F9" s="4" t="inlineStr">
        <is>
          <t>Progress visibility</t>
        </is>
      </c>
      <c r="G9" s="4" t="inlineStr">
        <is>
          <t>Denied</t>
        </is>
      </c>
      <c r="H9" s="4" t="inlineStr">
        <is>
          <t>Denied</t>
        </is>
      </c>
      <c r="I9" s="4" t="inlineStr">
        <is>
          <t>Denied</t>
        </is>
      </c>
      <c r="J9" s="4" t="inlineStr">
        <is>
          <t>Denied</t>
        </is>
      </c>
      <c r="K9" s="4" t="inlineStr">
        <is>
          <t>Denied</t>
        </is>
      </c>
      <c r="L9" s="4" t="inlineStr">
        <is>
          <t>Denied</t>
        </is>
      </c>
      <c r="M9" s="4" t="inlineStr">
        <is>
          <t>Denied</t>
        </is>
      </c>
    </row>
    <row r="10">
      <c r="A10" s="4" t="inlineStr">
        <is>
          <t>Chef</t>
        </is>
      </c>
      <c r="B10" s="4" t="inlineStr">
        <is>
          <t>Kitchen</t>
        </is>
      </c>
      <c r="C10" s="4" t="inlineStr">
        <is>
          <t>Denied</t>
        </is>
      </c>
      <c r="D10" s="4" t="inlineStr">
        <is>
          <t>Assigned queue context</t>
        </is>
      </c>
      <c r="E10" s="4" t="inlineStr">
        <is>
          <t>Denied</t>
        </is>
      </c>
      <c r="F10" s="4" t="inlineStr">
        <is>
          <t>Accept/prepare/ready</t>
        </is>
      </c>
      <c r="G10" s="4" t="inlineStr">
        <is>
          <t>Denied</t>
        </is>
      </c>
      <c r="H10" s="4" t="inlineStr">
        <is>
          <t>Denied</t>
        </is>
      </c>
      <c r="I10" s="4" t="inlineStr">
        <is>
          <t>Denied</t>
        </is>
      </c>
      <c r="J10" s="4" t="inlineStr">
        <is>
          <t>Denied</t>
        </is>
      </c>
      <c r="K10" s="4" t="inlineStr">
        <is>
          <t>Denied</t>
        </is>
      </c>
      <c r="L10" s="4" t="inlineStr">
        <is>
          <t>Denied</t>
        </is>
      </c>
      <c r="M10" s="4" t="inlineStr">
        <is>
          <t>Denied</t>
        </is>
      </c>
    </row>
    <row r="11">
      <c r="A11" s="4" t="inlineStr">
        <is>
          <t>Cashier</t>
        </is>
      </c>
      <c r="B11" s="4" t="inlineStr">
        <is>
          <t>Orders/Payments</t>
        </is>
      </c>
      <c r="C11" s="4" t="inlineStr">
        <is>
          <t>Denied</t>
        </is>
      </c>
      <c r="D11" s="4" t="inlineStr">
        <is>
          <t>Served/paid context</t>
        </is>
      </c>
      <c r="E11" s="4" t="inlineStr">
        <is>
          <t>Denied</t>
        </is>
      </c>
      <c r="F11" s="4" t="inlineStr">
        <is>
          <t>Denied</t>
        </is>
      </c>
      <c r="G11" s="4" t="inlineStr">
        <is>
          <t>Allowed + reduced reports</t>
        </is>
      </c>
      <c r="H11" s="4" t="inlineStr">
        <is>
          <t>Denied</t>
        </is>
      </c>
      <c r="I11" s="4" t="inlineStr">
        <is>
          <t>Denied</t>
        </is>
      </c>
      <c r="J11" s="4" t="inlineStr">
        <is>
          <t>Denied</t>
        </is>
      </c>
      <c r="K11" s="4" t="inlineStr">
        <is>
          <t>Denied</t>
        </is>
      </c>
      <c r="L11" s="4" t="inlineStr">
        <is>
          <t>Denied</t>
        </is>
      </c>
      <c r="M11" s="4" t="inlineStr">
        <is>
          <t>Denied</t>
        </is>
      </c>
    </row>
    <row r="12">
      <c r="A12" s="4" t="inlineStr">
        <is>
          <t>Branch Storekeeper</t>
        </is>
      </c>
      <c r="B12" s="4" t="inlineStr">
        <is>
          <t>Inventory/Requests</t>
        </is>
      </c>
      <c r="C12" s="4" t="inlineStr">
        <is>
          <t>Denied</t>
        </is>
      </c>
      <c r="D12" s="4" t="inlineStr">
        <is>
          <t>Denied</t>
        </is>
      </c>
      <c r="E12" s="4" t="inlineStr">
        <is>
          <t>Denied</t>
        </is>
      </c>
      <c r="F12" s="4" t="inlineStr">
        <is>
          <t>Denied</t>
        </is>
      </c>
      <c r="G12" s="4" t="inlineStr">
        <is>
          <t>Denied</t>
        </is>
      </c>
      <c r="H12" s="4" t="inlineStr">
        <is>
          <t>Denied</t>
        </is>
      </c>
      <c r="I12" s="4" t="inlineStr">
        <is>
          <t>Denied</t>
        </is>
      </c>
      <c r="J12" s="4" t="inlineStr">
        <is>
          <t>Assigned branch + legacy requests</t>
        </is>
      </c>
      <c r="K12" s="4" t="inlineStr">
        <is>
          <t>Create for assigned branch</t>
        </is>
      </c>
      <c r="L12" s="4" t="inlineStr">
        <is>
          <t>Denied</t>
        </is>
      </c>
      <c r="M12" s="4" t="inlineStr">
        <is>
          <t>Denied</t>
        </is>
      </c>
    </row>
    <row r="13">
      <c r="A13" s="4" t="inlineStr">
        <is>
          <t>Main Store Storekeeper</t>
        </is>
      </c>
      <c r="B13" s="4" t="inlineStr">
        <is>
          <t>Main Store</t>
        </is>
      </c>
      <c r="C13" s="4" t="inlineStr">
        <is>
          <t>Denied</t>
        </is>
      </c>
      <c r="D13" s="4" t="inlineStr">
        <is>
          <t>Denied</t>
        </is>
      </c>
      <c r="E13" s="4" t="inlineStr">
        <is>
          <t>Denied</t>
        </is>
      </c>
      <c r="F13" s="4" t="inlineStr">
        <is>
          <t>Denied</t>
        </is>
      </c>
      <c r="G13" s="4" t="inlineStr">
        <is>
          <t>Denied</t>
        </is>
      </c>
      <c r="H13" s="4" t="inlineStr">
        <is>
          <t>Denied</t>
        </is>
      </c>
      <c r="I13" s="4" t="inlineStr">
        <is>
          <t>Denied</t>
        </is>
      </c>
      <c r="J13" s="4" t="inlineStr">
        <is>
          <t>Main Store receipts</t>
        </is>
      </c>
      <c r="K13" s="4" t="inlineStr">
        <is>
          <t>Restaurant approved queue</t>
        </is>
      </c>
      <c r="L13" s="4" t="inlineStr">
        <is>
          <t>Denied</t>
        </is>
      </c>
      <c r="M13" s="4" t="inlineStr">
        <is>
          <t>Allowed: approved/same restaurant</t>
        </is>
      </c>
    </row>
  </sheetData>
  <autoFilter ref="A4:M13"/>
  <mergeCells count="2">
    <mergeCell ref="A2:M2"/>
    <mergeCell ref="A1:M1"/>
  </mergeCells>
  <pageMargins left="0.3" right="0.3" top="0.5" bottom="0.5" header="0.2" footer="0.2"/>
  <pageSetup orientation="landscape" fitToHeight="0" fitToWidth="1"/>
  <headerFooter>
    <oddHeader/>
    <oddFooter>&amp;CJima — CARAVAN Lounge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5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60" customWidth="1" min="3" max="3"/>
    <col width="16" customWidth="1" min="4" max="4"/>
    <col width="16" customWidth="1" min="5" max="5"/>
    <col width="24" customWidth="1" min="6" max="6"/>
  </cols>
  <sheetData>
    <row r="1">
      <c r="A1" s="1" t="inlineStr">
        <is>
          <t>Requirements Traceability</t>
        </is>
      </c>
    </row>
    <row r="2">
      <c r="A2" s="2" t="inlineStr">
        <is>
          <t>Formula counts link requirement IDs to the Test Cases sheet; multiple requirement IDs per case are counted by wildcard.</t>
        </is>
      </c>
    </row>
    <row r="3"/>
    <row r="4">
      <c r="A4" s="3" t="inlineStr">
        <is>
          <t>Requirement ID</t>
        </is>
      </c>
      <c r="B4" s="3" t="inlineStr">
        <is>
          <t>Source / area</t>
        </is>
      </c>
      <c r="C4" s="3" t="inlineStr">
        <is>
          <t>Requirement summary</t>
        </is>
      </c>
      <c r="D4" s="3" t="inlineStr">
        <is>
          <t>Planned cases</t>
        </is>
      </c>
      <c r="E4" s="3" t="inlineStr">
        <is>
          <t>Passed cases</t>
        </is>
      </c>
      <c r="F4" s="3" t="inlineStr">
        <is>
          <t>Coverage status</t>
        </is>
      </c>
    </row>
    <row r="5">
      <c r="A5" s="5" t="inlineStr">
        <is>
          <t>FR-A01</t>
        </is>
      </c>
      <c r="B5" s="5" t="inlineStr">
        <is>
          <t>FRS/SRS</t>
        </is>
      </c>
      <c r="C5" s="5" t="inlineStr">
        <is>
          <t>Login with email/password and JWT</t>
        </is>
      </c>
      <c r="D5" s="5">
        <f>COUNTIF('Test Cases'!$C:$C,"*FR-A01*")</f>
        <v/>
      </c>
      <c r="E5" s="5">
        <f>COUNTIFS('Test Cases'!$C:$C,"*FR-A01*",'Test Cases'!$R:$R,"Passed")</f>
        <v/>
      </c>
      <c r="F5" s="5">
        <f>IF(D5=0,"GAP",IF(E5=D5,"VERIFIED","PLANNED / INCOMPLETE"))</f>
        <v/>
      </c>
    </row>
    <row r="6">
      <c r="A6" s="5" t="inlineStr">
        <is>
          <t>FR-A02</t>
        </is>
      </c>
      <c r="B6" s="5" t="inlineStr">
        <is>
          <t>FRS/SRS</t>
        </is>
      </c>
      <c r="C6" s="5" t="inlineStr">
        <is>
          <t>Bearer protection</t>
        </is>
      </c>
      <c r="D6" s="5">
        <f>COUNTIF('Test Cases'!$C:$C,"*FR-A02*")</f>
        <v/>
      </c>
      <c r="E6" s="5">
        <f>COUNTIFS('Test Cases'!$C:$C,"*FR-A02*",'Test Cases'!$R:$R,"Passed")</f>
        <v/>
      </c>
      <c r="F6" s="5">
        <f>IF(D6=0,"GAP",IF(E6=D6,"VERIFIED","PLANNED / INCOMPLETE"))</f>
        <v/>
      </c>
    </row>
    <row r="7">
      <c r="A7" s="5" t="inlineStr">
        <is>
          <t>FR-A03</t>
        </is>
      </c>
      <c r="B7" s="5" t="inlineStr">
        <is>
          <t>FRS/SRS</t>
        </is>
      </c>
      <c r="C7" s="5" t="inlineStr">
        <is>
          <t>Role-restricted UI/pages</t>
        </is>
      </c>
      <c r="D7" s="5">
        <f>COUNTIF('Test Cases'!$C:$C,"*FR-A03*")</f>
        <v/>
      </c>
      <c r="E7" s="5">
        <f>COUNTIFS('Test Cases'!$C:$C,"*FR-A03*",'Test Cases'!$R:$R,"Passed")</f>
        <v/>
      </c>
      <c r="F7" s="5">
        <f>IF(D7=0,"GAP",IF(E7=D7,"VERIFIED","PLANNED / INCOMPLETE"))</f>
        <v/>
      </c>
    </row>
    <row r="8">
      <c r="A8" s="5" t="inlineStr">
        <is>
          <t>FR-A04</t>
        </is>
      </c>
      <c r="B8" s="5" t="inlineStr">
        <is>
          <t>FRS/SRS</t>
        </is>
      </c>
      <c r="C8" s="5" t="inlineStr">
        <is>
          <t>bcrypt passwords</t>
        </is>
      </c>
      <c r="D8" s="5">
        <f>COUNTIF('Test Cases'!$C:$C,"*FR-A04*")</f>
        <v/>
      </c>
      <c r="E8" s="5">
        <f>COUNTIFS('Test Cases'!$C:$C,"*FR-A04*",'Test Cases'!$R:$R,"Passed")</f>
        <v/>
      </c>
      <c r="F8" s="5">
        <f>IF(D8=0,"GAP",IF(E8=D8,"VERIFIED","PLANNED / INCOMPLETE"))</f>
        <v/>
      </c>
    </row>
    <row r="9">
      <c r="A9" s="5" t="inlineStr">
        <is>
          <t>FR-O01</t>
        </is>
      </c>
      <c r="B9" s="5" t="inlineStr">
        <is>
          <t>FRS/SRS</t>
        </is>
      </c>
      <c r="C9" s="5" t="inlineStr">
        <is>
          <t>POS order creation</t>
        </is>
      </c>
      <c r="D9" s="5">
        <f>COUNTIF('Test Cases'!$C:$C,"*FR-O01*")</f>
        <v/>
      </c>
      <c r="E9" s="5">
        <f>COUNTIFS('Test Cases'!$C:$C,"*FR-O01*",'Test Cases'!$R:$R,"Passed")</f>
        <v/>
      </c>
      <c r="F9" s="5">
        <f>IF(D9=0,"GAP",IF(E9=D9,"VERIFIED","PLANNED / INCOMPLETE"))</f>
        <v/>
      </c>
    </row>
    <row r="10">
      <c r="A10" s="5" t="inlineStr">
        <is>
          <t>FR-O02</t>
        </is>
      </c>
      <c r="B10" s="5" t="inlineStr">
        <is>
          <t>FRS/SRS</t>
        </is>
      </c>
      <c r="C10" s="5" t="inlineStr">
        <is>
          <t>Order lifecycle</t>
        </is>
      </c>
      <c r="D10" s="5">
        <f>COUNTIF('Test Cases'!$C:$C,"*FR-O02*")</f>
        <v/>
      </c>
      <c r="E10" s="5">
        <f>COUNTIFS('Test Cases'!$C:$C,"*FR-O02*",'Test Cases'!$R:$R,"Passed")</f>
        <v/>
      </c>
      <c r="F10" s="5">
        <f>IF(D10=0,"GAP",IF(E10=D10,"VERIFIED","PLANNED / INCOMPLETE"))</f>
        <v/>
      </c>
    </row>
    <row r="11">
      <c r="A11" s="5" t="inlineStr">
        <is>
          <t>FR-O03</t>
        </is>
      </c>
      <c r="B11" s="5" t="inlineStr">
        <is>
          <t>FRS/SRS</t>
        </is>
      </c>
      <c r="C11" s="5" t="inlineStr">
        <is>
          <t>Coordinator confirm/assign</t>
        </is>
      </c>
      <c r="D11" s="5">
        <f>COUNTIF('Test Cases'!$C:$C,"*FR-O03*")</f>
        <v/>
      </c>
      <c r="E11" s="5">
        <f>COUNTIFS('Test Cases'!$C:$C,"*FR-O03*",'Test Cases'!$R:$R,"Passed")</f>
        <v/>
      </c>
      <c r="F11" s="5">
        <f>IF(D11=0,"GAP",IF(E11=D11,"VERIFIED","PLANNED / INCOMPLETE"))</f>
        <v/>
      </c>
    </row>
    <row r="12">
      <c r="A12" s="5" t="inlineStr">
        <is>
          <t>FR-O04</t>
        </is>
      </c>
      <c r="B12" s="5" t="inlineStr">
        <is>
          <t>FRS/SRS</t>
        </is>
      </c>
      <c r="C12" s="5" t="inlineStr">
        <is>
          <t>Append items</t>
        </is>
      </c>
      <c r="D12" s="5">
        <f>COUNTIF('Test Cases'!$C:$C,"*FR-O04*")</f>
        <v/>
      </c>
      <c r="E12" s="5">
        <f>COUNTIFS('Test Cases'!$C:$C,"*FR-O04*",'Test Cases'!$R:$R,"Passed")</f>
        <v/>
      </c>
      <c r="F12" s="5">
        <f>IF(D12=0,"GAP",IF(E12=D12,"VERIFIED","PLANNED / INCOMPLETE"))</f>
        <v/>
      </c>
    </row>
    <row r="13">
      <c r="A13" s="5" t="inlineStr">
        <is>
          <t>FR-O05</t>
        </is>
      </c>
      <c r="B13" s="5" t="inlineStr">
        <is>
          <t>FRS/SRS</t>
        </is>
      </c>
      <c r="C13" s="5" t="inlineStr">
        <is>
          <t>Order list/detail</t>
        </is>
      </c>
      <c r="D13" s="5">
        <f>COUNTIF('Test Cases'!$C:$C,"*FR-O05*")</f>
        <v/>
      </c>
      <c r="E13" s="5">
        <f>COUNTIFS('Test Cases'!$C:$C,"*FR-O05*",'Test Cases'!$R:$R,"Passed")</f>
        <v/>
      </c>
      <c r="F13" s="5">
        <f>IF(D13=0,"GAP",IF(E13=D13,"VERIFIED","PLANNED / INCOMPLETE"))</f>
        <v/>
      </c>
    </row>
    <row r="14">
      <c r="A14" s="5" t="inlineStr">
        <is>
          <t>FR-O06</t>
        </is>
      </c>
      <c r="B14" s="5" t="inlineStr">
        <is>
          <t>FRS/SRS</t>
        </is>
      </c>
      <c r="C14" s="5" t="inlineStr">
        <is>
          <t>Order filters</t>
        </is>
      </c>
      <c r="D14" s="5">
        <f>COUNTIF('Test Cases'!$C:$C,"*FR-O06*")</f>
        <v/>
      </c>
      <c r="E14" s="5">
        <f>COUNTIFS('Test Cases'!$C:$C,"*FR-O06*",'Test Cases'!$R:$R,"Passed")</f>
        <v/>
      </c>
      <c r="F14" s="5">
        <f>IF(D14=0,"GAP",IF(E14=D14,"VERIFIED","PLANNED / INCOMPLETE"))</f>
        <v/>
      </c>
    </row>
    <row r="15">
      <c r="A15" s="5" t="inlineStr">
        <is>
          <t>FR-O07</t>
        </is>
      </c>
      <c r="B15" s="5" t="inlineStr">
        <is>
          <t>FRS/SRS</t>
        </is>
      </c>
      <c r="C15" s="5" t="inlineStr">
        <is>
          <t>10-second refresh</t>
        </is>
      </c>
      <c r="D15" s="5">
        <f>COUNTIF('Test Cases'!$C:$C,"*FR-O07*")</f>
        <v/>
      </c>
      <c r="E15" s="5">
        <f>COUNTIFS('Test Cases'!$C:$C,"*FR-O07*",'Test Cases'!$R:$R,"Passed")</f>
        <v/>
      </c>
      <c r="F15" s="5">
        <f>IF(D15=0,"GAP",IF(E15=D15,"VERIFIED","PLANNED / INCOMPLETE"))</f>
        <v/>
      </c>
    </row>
    <row r="16">
      <c r="A16" s="5" t="inlineStr">
        <is>
          <t>FR-O08</t>
        </is>
      </c>
      <c r="B16" s="5" t="inlineStr">
        <is>
          <t>FRS/SRS</t>
        </is>
      </c>
      <c r="C16" s="5" t="inlineStr">
        <is>
          <t>Phone POS</t>
        </is>
      </c>
      <c r="D16" s="5">
        <f>COUNTIF('Test Cases'!$C:$C,"*FR-O08*")</f>
        <v/>
      </c>
      <c r="E16" s="5">
        <f>COUNTIFS('Test Cases'!$C:$C,"*FR-O08*",'Test Cases'!$R:$R,"Passed")</f>
        <v/>
      </c>
      <c r="F16" s="5">
        <f>IF(D16=0,"GAP",IF(E16=D16,"VERIFIED","PLANNED / INCOMPLETE"))</f>
        <v/>
      </c>
    </row>
    <row r="17">
      <c r="A17" s="5" t="inlineStr">
        <is>
          <t>FR-K01</t>
        </is>
      </c>
      <c r="B17" s="5" t="inlineStr">
        <is>
          <t>FRS/SRS</t>
        </is>
      </c>
      <c r="C17" s="5" t="inlineStr">
        <is>
          <t>Chef queues</t>
        </is>
      </c>
      <c r="D17" s="5">
        <f>COUNTIF('Test Cases'!$C:$C,"*FR-K01*")</f>
        <v/>
      </c>
      <c r="E17" s="5">
        <f>COUNTIFS('Test Cases'!$C:$C,"*FR-K01*",'Test Cases'!$R:$R,"Passed")</f>
        <v/>
      </c>
      <c r="F17" s="5">
        <f>IF(D17=0,"GAP",IF(E17=D17,"VERIFIED","PLANNED / INCOMPLETE"))</f>
        <v/>
      </c>
    </row>
    <row r="18">
      <c r="A18" s="5" t="inlineStr">
        <is>
          <t>FR-K02</t>
        </is>
      </c>
      <c r="B18" s="5" t="inlineStr">
        <is>
          <t>FRS/SRS</t>
        </is>
      </c>
      <c r="C18" s="5" t="inlineStr">
        <is>
          <t>Kitchen transitions</t>
        </is>
      </c>
      <c r="D18" s="5">
        <f>COUNTIF('Test Cases'!$C:$C,"*FR-K02*")</f>
        <v/>
      </c>
      <c r="E18" s="5">
        <f>COUNTIFS('Test Cases'!$C:$C,"*FR-K02*",'Test Cases'!$R:$R,"Passed")</f>
        <v/>
      </c>
      <c r="F18" s="5">
        <f>IF(D18=0,"GAP",IF(E18=D18,"VERIFIED","PLANNED / INCOMPLETE"))</f>
        <v/>
      </c>
    </row>
    <row r="19">
      <c r="A19" s="5" t="inlineStr">
        <is>
          <t>FR-K03</t>
        </is>
      </c>
      <c r="B19" s="5" t="inlineStr">
        <is>
          <t>FRS/SRS</t>
        </is>
      </c>
      <c r="C19" s="5" t="inlineStr">
        <is>
          <t>Progress board</t>
        </is>
      </c>
      <c r="D19" s="5">
        <f>COUNTIF('Test Cases'!$C:$C,"*FR-K03*")</f>
        <v/>
      </c>
      <c r="E19" s="5">
        <f>COUNTIFS('Test Cases'!$C:$C,"*FR-K03*",'Test Cases'!$R:$R,"Passed")</f>
        <v/>
      </c>
      <c r="F19" s="5">
        <f>IF(D19=0,"GAP",IF(E19=D19,"VERIFIED","PLANNED / INCOMPLETE"))</f>
        <v/>
      </c>
    </row>
    <row r="20">
      <c r="A20" s="5" t="inlineStr">
        <is>
          <t>FR-K04</t>
        </is>
      </c>
      <c r="B20" s="5" t="inlineStr">
        <is>
          <t>FRS/SRS</t>
        </is>
      </c>
      <c r="C20" s="5" t="inlineStr">
        <is>
          <t>20-minute warning</t>
        </is>
      </c>
      <c r="D20" s="5">
        <f>COUNTIF('Test Cases'!$C:$C,"*FR-K04*")</f>
        <v/>
      </c>
      <c r="E20" s="5">
        <f>COUNTIFS('Test Cases'!$C:$C,"*FR-K04*",'Test Cases'!$R:$R,"Passed")</f>
        <v/>
      </c>
      <c r="F20" s="5">
        <f>IF(D20=0,"GAP",IF(E20=D20,"VERIFIED","PLANNED / INCOMPLETE"))</f>
        <v/>
      </c>
    </row>
    <row r="21">
      <c r="A21" s="5" t="inlineStr">
        <is>
          <t>FR-P01</t>
        </is>
      </c>
      <c r="B21" s="5" t="inlineStr">
        <is>
          <t>FRS/SRS</t>
        </is>
      </c>
      <c r="C21" s="5" t="inlineStr">
        <is>
          <t>Payment methods/change</t>
        </is>
      </c>
      <c r="D21" s="5">
        <f>COUNTIF('Test Cases'!$C:$C,"*FR-P01*")</f>
        <v/>
      </c>
      <c r="E21" s="5">
        <f>COUNTIFS('Test Cases'!$C:$C,"*FR-P01*",'Test Cases'!$R:$R,"Passed")</f>
        <v/>
      </c>
      <c r="F21" s="5">
        <f>IF(D21=0,"GAP",IF(E21=D21,"VERIFIED","PLANNED / INCOMPLETE"))</f>
        <v/>
      </c>
    </row>
    <row r="22">
      <c r="A22" s="5" t="inlineStr">
        <is>
          <t>FR-P02</t>
        </is>
      </c>
      <c r="B22" s="5" t="inlineStr">
        <is>
          <t>FRS/SRS</t>
        </is>
      </c>
      <c r="C22" s="5" t="inlineStr">
        <is>
          <t>Paid/table release</t>
        </is>
      </c>
      <c r="D22" s="5">
        <f>COUNTIF('Test Cases'!$C:$C,"*FR-P02*")</f>
        <v/>
      </c>
      <c r="E22" s="5">
        <f>COUNTIFS('Test Cases'!$C:$C,"*FR-P02*",'Test Cases'!$R:$R,"Passed")</f>
        <v/>
      </c>
      <c r="F22" s="5">
        <f>IF(D22=0,"GAP",IF(E22=D22,"VERIFIED","PLANNED / INCOMPLETE"))</f>
        <v/>
      </c>
    </row>
    <row r="23">
      <c r="A23" s="5" t="inlineStr">
        <is>
          <t>FR-P03</t>
        </is>
      </c>
      <c r="B23" s="5" t="inlineStr">
        <is>
          <t>FRS/SRS</t>
        </is>
      </c>
      <c r="C23" s="5" t="inlineStr">
        <is>
          <t>Daily reports</t>
        </is>
      </c>
      <c r="D23" s="5">
        <f>COUNTIF('Test Cases'!$C:$C,"*FR-P03*")</f>
        <v/>
      </c>
      <c r="E23" s="5">
        <f>COUNTIFS('Test Cases'!$C:$C,"*FR-P03*",'Test Cases'!$R:$R,"Passed")</f>
        <v/>
      </c>
      <c r="F23" s="5">
        <f>IF(D23=0,"GAP",IF(E23=D23,"VERIFIED","PLANNED / INCOMPLETE"))</f>
        <v/>
      </c>
    </row>
    <row r="24">
      <c r="A24" s="5" t="inlineStr">
        <is>
          <t>FR-M01</t>
        </is>
      </c>
      <c r="B24" s="5" t="inlineStr">
        <is>
          <t>FRS/SRS</t>
        </is>
      </c>
      <c r="C24" s="5" t="inlineStr">
        <is>
          <t>Menu maintenance</t>
        </is>
      </c>
      <c r="D24" s="5">
        <f>COUNTIF('Test Cases'!$C:$C,"*FR-M01*")</f>
        <v/>
      </c>
      <c r="E24" s="5">
        <f>COUNTIFS('Test Cases'!$C:$C,"*FR-M01*",'Test Cases'!$R:$R,"Passed")</f>
        <v/>
      </c>
      <c r="F24" s="5">
        <f>IF(D24=0,"GAP",IF(E24=D24,"VERIFIED","PLANNED / INCOMPLETE"))</f>
        <v/>
      </c>
    </row>
    <row r="25">
      <c r="A25" s="5" t="inlineStr">
        <is>
          <t>FR-M02</t>
        </is>
      </c>
      <c r="B25" s="5" t="inlineStr">
        <is>
          <t>FRS/SRS</t>
        </is>
      </c>
      <c r="C25" s="5" t="inlineStr">
        <is>
          <t>Availability</t>
        </is>
      </c>
      <c r="D25" s="5">
        <f>COUNTIF('Test Cases'!$C:$C,"*FR-M02*")</f>
        <v/>
      </c>
      <c r="E25" s="5">
        <f>COUNTIFS('Test Cases'!$C:$C,"*FR-M02*",'Test Cases'!$R:$R,"Passed")</f>
        <v/>
      </c>
      <c r="F25" s="5">
        <f>IF(D25=0,"GAP",IF(E25=D25,"VERIFIED","PLANNED / INCOMPLETE"))</f>
        <v/>
      </c>
    </row>
    <row r="26">
      <c r="A26" s="5" t="inlineStr">
        <is>
          <t>FR-I01</t>
        </is>
      </c>
      <c r="B26" s="5" t="inlineStr">
        <is>
          <t>FRS/SRS</t>
        </is>
      </c>
      <c r="C26" s="5" t="inlineStr">
        <is>
          <t>Inventory fields</t>
        </is>
      </c>
      <c r="D26" s="5">
        <f>COUNTIF('Test Cases'!$C:$C,"*FR-I01*")</f>
        <v/>
      </c>
      <c r="E26" s="5">
        <f>COUNTIFS('Test Cases'!$C:$C,"*FR-I01*",'Test Cases'!$R:$R,"Passed")</f>
        <v/>
      </c>
      <c r="F26" s="5">
        <f>IF(D26=0,"GAP",IF(E26=D26,"VERIFIED","PLANNED / INCOMPLETE"))</f>
        <v/>
      </c>
    </row>
    <row r="27">
      <c r="A27" s="5" t="inlineStr">
        <is>
          <t>FR-I02</t>
        </is>
      </c>
      <c r="B27" s="5" t="inlineStr">
        <is>
          <t>FRS/SRS</t>
        </is>
      </c>
      <c r="C27" s="5" t="inlineStr">
        <is>
          <t>Low stock</t>
        </is>
      </c>
      <c r="D27" s="5">
        <f>COUNTIF('Test Cases'!$C:$C,"*FR-I02*")</f>
        <v/>
      </c>
      <c r="E27" s="5">
        <f>COUNTIFS('Test Cases'!$C:$C,"*FR-I02*",'Test Cases'!$R:$R,"Passed")</f>
        <v/>
      </c>
      <c r="F27" s="5">
        <f>IF(D27=0,"GAP",IF(E27=D27,"VERIFIED","PLANNED / INCOMPLETE"))</f>
        <v/>
      </c>
    </row>
    <row r="28">
      <c r="A28" s="5" t="inlineStr">
        <is>
          <t>FR-I03</t>
        </is>
      </c>
      <c r="B28" s="5" t="inlineStr">
        <is>
          <t>FRS/SRS</t>
        </is>
      </c>
      <c r="C28" s="5" t="inlineStr">
        <is>
          <t>Suppliers/PO</t>
        </is>
      </c>
      <c r="D28" s="5">
        <f>COUNTIF('Test Cases'!$C:$C,"*FR-I03*")</f>
        <v/>
      </c>
      <c r="E28" s="5">
        <f>COUNTIFS('Test Cases'!$C:$C,"*FR-I03*",'Test Cases'!$R:$R,"Passed")</f>
        <v/>
      </c>
      <c r="F28" s="5">
        <f>IF(D28=0,"GAP",IF(E28=D28,"VERIFIED","PLANNED / INCOMPLETE"))</f>
        <v/>
      </c>
    </row>
    <row r="29">
      <c r="A29" s="5" t="inlineStr">
        <is>
          <t>FR-I04</t>
        </is>
      </c>
      <c r="B29" s="5" t="inlineStr">
        <is>
          <t>FRS/SRS</t>
        </is>
      </c>
      <c r="C29" s="5" t="inlineStr">
        <is>
          <t>Adjustments</t>
        </is>
      </c>
      <c r="D29" s="5">
        <f>COUNTIF('Test Cases'!$C:$C,"*FR-I04*")</f>
        <v/>
      </c>
      <c r="E29" s="5">
        <f>COUNTIFS('Test Cases'!$C:$C,"*FR-I04*",'Test Cases'!$R:$R,"Passed")</f>
        <v/>
      </c>
      <c r="F29" s="5">
        <f>IF(D29=0,"GAP",IF(E29=D29,"VERIFIED","PLANNED / INCOMPLETE"))</f>
        <v/>
      </c>
    </row>
    <row r="30">
      <c r="A30" s="5" t="inlineStr">
        <is>
          <t>FR-I05</t>
        </is>
      </c>
      <c r="B30" s="5" t="inlineStr">
        <is>
          <t>FRS/SRS</t>
        </is>
      </c>
      <c r="C30" s="5" t="inlineStr">
        <is>
          <t>Legacy Item Requests</t>
        </is>
      </c>
      <c r="D30" s="5">
        <f>COUNTIF('Test Cases'!$C:$C,"*FR-I05*")</f>
        <v/>
      </c>
      <c r="E30" s="5">
        <f>COUNTIFS('Test Cases'!$C:$C,"*FR-I05*",'Test Cases'!$R:$R,"Passed")</f>
        <v/>
      </c>
      <c r="F30" s="5">
        <f>IF(D30=0,"GAP",IF(E30=D30,"VERIFIED","PLANNED / INCOMPLETE"))</f>
        <v/>
      </c>
    </row>
    <row r="31">
      <c r="A31" s="5" t="inlineStr">
        <is>
          <t>FR-I06</t>
        </is>
      </c>
      <c r="B31" s="5" t="inlineStr">
        <is>
          <t>FRS/SRS</t>
        </is>
      </c>
      <c r="C31" s="5" t="inlineStr">
        <is>
          <t>Branch request</t>
        </is>
      </c>
      <c r="D31" s="5">
        <f>COUNTIF('Test Cases'!$C:$C,"*FR-I06*")</f>
        <v/>
      </c>
      <c r="E31" s="5">
        <f>COUNTIFS('Test Cases'!$C:$C,"*FR-I06*",'Test Cases'!$R:$R,"Passed")</f>
        <v/>
      </c>
      <c r="F31" s="5">
        <f>IF(D31=0,"GAP",IF(E31=D31,"VERIFIED","PLANNED / INCOMPLETE"))</f>
        <v/>
      </c>
    </row>
    <row r="32">
      <c r="A32" s="5" t="inlineStr">
        <is>
          <t>FR-I07</t>
        </is>
      </c>
      <c r="B32" s="5" t="inlineStr">
        <is>
          <t>FRS/SRS</t>
        </is>
      </c>
      <c r="C32" s="5" t="inlineStr">
        <is>
          <t>Decision/no stock</t>
        </is>
      </c>
      <c r="D32" s="5">
        <f>COUNTIF('Test Cases'!$C:$C,"*FR-I07*")</f>
        <v/>
      </c>
      <c r="E32" s="5">
        <f>COUNTIFS('Test Cases'!$C:$C,"*FR-I07*",'Test Cases'!$R:$R,"Passed")</f>
        <v/>
      </c>
      <c r="F32" s="5">
        <f>IF(D32=0,"GAP",IF(E32=D32,"VERIFIED","PLANNED / INCOMPLETE"))</f>
        <v/>
      </c>
    </row>
    <row r="33">
      <c r="A33" s="5" t="inlineStr">
        <is>
          <t>FR-I08</t>
        </is>
      </c>
      <c r="B33" s="5" t="inlineStr">
        <is>
          <t>FRS/SRS</t>
        </is>
      </c>
      <c r="C33" s="5" t="inlineStr">
        <is>
          <t>Fulfillment role</t>
        </is>
      </c>
      <c r="D33" s="5">
        <f>COUNTIF('Test Cases'!$C:$C,"*FR-I08*")</f>
        <v/>
      </c>
      <c r="E33" s="5">
        <f>COUNTIFS('Test Cases'!$C:$C,"*FR-I08*",'Test Cases'!$R:$R,"Passed")</f>
        <v/>
      </c>
      <c r="F33" s="5">
        <f>IF(D33=0,"GAP",IF(E33=D33,"VERIFIED","PLANNED / INCOMPLETE"))</f>
        <v/>
      </c>
    </row>
    <row r="34">
      <c r="A34" s="5" t="inlineStr">
        <is>
          <t>FR-I09</t>
        </is>
      </c>
      <c r="B34" s="5" t="inlineStr">
        <is>
          <t>FRS/SRS</t>
        </is>
      </c>
      <c r="C34" s="5" t="inlineStr">
        <is>
          <t>Atomic transfer</t>
        </is>
      </c>
      <c r="D34" s="5">
        <f>COUNTIF('Test Cases'!$C:$C,"*FR-I09*")</f>
        <v/>
      </c>
      <c r="E34" s="5">
        <f>COUNTIFS('Test Cases'!$C:$C,"*FR-I09*",'Test Cases'!$R:$R,"Passed")</f>
        <v/>
      </c>
      <c r="F34" s="5">
        <f>IF(D34=0,"GAP",IF(E34=D34,"VERIFIED","PLANNED / INCOMPLETE"))</f>
        <v/>
      </c>
    </row>
    <row r="35">
      <c r="A35" s="5" t="inlineStr">
        <is>
          <t>FR-I10</t>
        </is>
      </c>
      <c r="B35" s="5" t="inlineStr">
        <is>
          <t>FRS/SRS</t>
        </is>
      </c>
      <c r="C35" s="5" t="inlineStr">
        <is>
          <t>Transfer audit</t>
        </is>
      </c>
      <c r="D35" s="5">
        <f>COUNTIF('Test Cases'!$C:$C,"*FR-I10*")</f>
        <v/>
      </c>
      <c r="E35" s="5">
        <f>COUNTIFS('Test Cases'!$C:$C,"*FR-I10*",'Test Cases'!$R:$R,"Passed")</f>
        <v/>
      </c>
      <c r="F35" s="5">
        <f>IF(D35=0,"GAP",IF(E35=D35,"VERIFIED","PLANNED / INCOMPLETE"))</f>
        <v/>
      </c>
    </row>
    <row r="36">
      <c r="A36" s="5" t="inlineStr">
        <is>
          <t>FR-I11</t>
        </is>
      </c>
      <c r="B36" s="5" t="inlineStr">
        <is>
          <t>FRS/SRS</t>
        </is>
      </c>
      <c r="C36" s="5" t="inlineStr">
        <is>
          <t>Isolation</t>
        </is>
      </c>
      <c r="D36" s="5">
        <f>COUNTIF('Test Cases'!$C:$C,"*FR-I11*")</f>
        <v/>
      </c>
      <c r="E36" s="5">
        <f>COUNTIFS('Test Cases'!$C:$C,"*FR-I11*",'Test Cases'!$R:$R,"Passed")</f>
        <v/>
      </c>
      <c r="F36" s="5">
        <f>IF(D36=0,"GAP",IF(E36=D36,"VERIFIED","PLANNED / INCOMPLETE"))</f>
        <v/>
      </c>
    </row>
    <row r="37">
      <c r="A37" s="5" t="inlineStr">
        <is>
          <t>FR-S01</t>
        </is>
      </c>
      <c r="B37" s="5" t="inlineStr">
        <is>
          <t>FRS/SRS</t>
        </is>
      </c>
      <c r="C37" s="5" t="inlineStr">
        <is>
          <t>Staff</t>
        </is>
      </c>
      <c r="D37" s="5">
        <f>COUNTIF('Test Cases'!$C:$C,"*FR-S01*")</f>
        <v/>
      </c>
      <c r="E37" s="5">
        <f>COUNTIFS('Test Cases'!$C:$C,"*FR-S01*",'Test Cases'!$R:$R,"Passed")</f>
        <v/>
      </c>
      <c r="F37" s="5">
        <f>IF(D37=0,"GAP",IF(E37=D37,"VERIFIED","PLANNED / INCOMPLETE"))</f>
        <v/>
      </c>
    </row>
    <row r="38">
      <c r="A38" s="5" t="inlineStr">
        <is>
          <t>FR-S02</t>
        </is>
      </c>
      <c r="B38" s="5" t="inlineStr">
        <is>
          <t>FRS/SRS</t>
        </is>
      </c>
      <c r="C38" s="5" t="inlineStr">
        <is>
          <t>Restaurant/branches</t>
        </is>
      </c>
      <c r="D38" s="5">
        <f>COUNTIF('Test Cases'!$C:$C,"*FR-S02*")</f>
        <v/>
      </c>
      <c r="E38" s="5">
        <f>COUNTIFS('Test Cases'!$C:$C,"*FR-S02*",'Test Cases'!$R:$R,"Passed")</f>
        <v/>
      </c>
      <c r="F38" s="5">
        <f>IF(D38=0,"GAP",IF(E38=D38,"VERIFIED","PLANNED / INCOMPLETE"))</f>
        <v/>
      </c>
    </row>
    <row r="39">
      <c r="A39" s="5" t="inlineStr">
        <is>
          <t>FR-S03</t>
        </is>
      </c>
      <c r="B39" s="5" t="inlineStr">
        <is>
          <t>FRS/SRS</t>
        </is>
      </c>
      <c r="C39" s="5" t="inlineStr">
        <is>
          <t>Tables</t>
        </is>
      </c>
      <c r="D39" s="5">
        <f>COUNTIF('Test Cases'!$C:$C,"*FR-S03*")</f>
        <v/>
      </c>
      <c r="E39" s="5">
        <f>COUNTIFS('Test Cases'!$C:$C,"*FR-S03*",'Test Cases'!$R:$R,"Passed")</f>
        <v/>
      </c>
      <c r="F39" s="5">
        <f>IF(D39=0,"GAP",IF(E39=D39,"VERIFIED","PLANNED / INCOMPLETE"))</f>
        <v/>
      </c>
    </row>
    <row r="40">
      <c r="A40" s="5" t="inlineStr">
        <is>
          <t>FR-D01</t>
        </is>
      </c>
      <c r="B40" s="5" t="inlineStr">
        <is>
          <t>FRS/SRS</t>
        </is>
      </c>
      <c r="C40" s="5" t="inlineStr">
        <is>
          <t>Dashboard</t>
        </is>
      </c>
      <c r="D40" s="5">
        <f>COUNTIF('Test Cases'!$C:$C,"*FR-D01*")</f>
        <v/>
      </c>
      <c r="E40" s="5">
        <f>COUNTIFS('Test Cases'!$C:$C,"*FR-D01*",'Test Cases'!$R:$R,"Passed")</f>
        <v/>
      </c>
      <c r="F40" s="5">
        <f>IF(D40=0,"GAP",IF(E40=D40,"VERIFIED","PLANNED / INCOMPLETE"))</f>
        <v/>
      </c>
    </row>
    <row r="41">
      <c r="A41" s="5" t="inlineStr">
        <is>
          <t>FR-D02</t>
        </is>
      </c>
      <c r="B41" s="5" t="inlineStr">
        <is>
          <t>FRS/SRS</t>
        </is>
      </c>
      <c r="C41" s="5" t="inlineStr">
        <is>
          <t>Management reports</t>
        </is>
      </c>
      <c r="D41" s="5">
        <f>COUNTIF('Test Cases'!$C:$C,"*FR-D02*")</f>
        <v/>
      </c>
      <c r="E41" s="5">
        <f>COUNTIFS('Test Cases'!$C:$C,"*FR-D02*",'Test Cases'!$R:$R,"Passed")</f>
        <v/>
      </c>
      <c r="F41" s="5">
        <f>IF(D41=0,"GAP",IF(E41=D41,"VERIFIED","PLANNED / INCOMPLETE"))</f>
        <v/>
      </c>
    </row>
    <row r="42">
      <c r="A42" s="5" t="inlineStr">
        <is>
          <t>FR-D03</t>
        </is>
      </c>
      <c r="B42" s="5" t="inlineStr">
        <is>
          <t>FRS/SRS</t>
        </is>
      </c>
      <c r="C42" s="5" t="inlineStr">
        <is>
          <t>Cashier reports</t>
        </is>
      </c>
      <c r="D42" s="5">
        <f>COUNTIF('Test Cases'!$C:$C,"*FR-D03*")</f>
        <v/>
      </c>
      <c r="E42" s="5">
        <f>COUNTIFS('Test Cases'!$C:$C,"*FR-D03*",'Test Cases'!$R:$R,"Passed")</f>
        <v/>
      </c>
      <c r="F42" s="5">
        <f>IF(D42=0,"GAP",IF(E42=D42,"VERIFIED","PLANNED / INCOMPLETE"))</f>
        <v/>
      </c>
    </row>
    <row r="43">
      <c r="A43" s="5" t="inlineStr">
        <is>
          <t>FR-D04</t>
        </is>
      </c>
      <c r="B43" s="5" t="inlineStr">
        <is>
          <t>FRS/SRS</t>
        </is>
      </c>
      <c r="C43" s="5" t="inlineStr">
        <is>
          <t>Role landing</t>
        </is>
      </c>
      <c r="D43" s="5">
        <f>COUNTIF('Test Cases'!$C:$C,"*FR-D04*")</f>
        <v/>
      </c>
      <c r="E43" s="5">
        <f>COUNTIFS('Test Cases'!$C:$C,"*FR-D04*",'Test Cases'!$R:$R,"Passed")</f>
        <v/>
      </c>
      <c r="F43" s="5">
        <f>IF(D43=0,"GAP",IF(E43=D43,"VERIFIED","PLANNED / INCOMPLETE"))</f>
        <v/>
      </c>
    </row>
    <row r="44">
      <c r="A44" s="5" t="inlineStr">
        <is>
          <t>FR-N01</t>
        </is>
      </c>
      <c r="B44" s="5" t="inlineStr">
        <is>
          <t>FRS/SRS</t>
        </is>
      </c>
      <c r="C44" s="5" t="inlineStr">
        <is>
          <t>Notifications</t>
        </is>
      </c>
      <c r="D44" s="5">
        <f>COUNTIF('Test Cases'!$C:$C,"*FR-N01*")</f>
        <v/>
      </c>
      <c r="E44" s="5">
        <f>COUNTIFS('Test Cases'!$C:$C,"*FR-N01*",'Test Cases'!$R:$R,"Passed")</f>
        <v/>
      </c>
      <c r="F44" s="5">
        <f>IF(D44=0,"GAP",IF(E44=D44,"VERIFIED","PLANNED / INCOMPLETE"))</f>
        <v/>
      </c>
    </row>
    <row r="45">
      <c r="A45" s="5" t="inlineStr">
        <is>
          <t>NFR-01</t>
        </is>
      </c>
      <c r="B45" s="5" t="inlineStr">
        <is>
          <t>FRS/SRS</t>
        </is>
      </c>
      <c r="C45" s="5" t="inlineStr">
        <is>
          <t>Performance</t>
        </is>
      </c>
      <c r="D45" s="5">
        <f>COUNTIF('Test Cases'!$C:$C,"*NFR-01*")</f>
        <v/>
      </c>
      <c r="E45" s="5">
        <f>COUNTIFS('Test Cases'!$C:$C,"*NFR-01*",'Test Cases'!$R:$R,"Passed")</f>
        <v/>
      </c>
      <c r="F45" s="5">
        <f>IF(D45=0,"GAP",IF(E45=D45,"VERIFIED","PLANNED / INCOMPLETE"))</f>
        <v/>
      </c>
    </row>
    <row r="46">
      <c r="A46" s="5" t="inlineStr">
        <is>
          <t>NFR-02</t>
        </is>
      </c>
      <c r="B46" s="5" t="inlineStr">
        <is>
          <t>FRS/SRS</t>
        </is>
      </c>
      <c r="C46" s="5" t="inlineStr">
        <is>
          <t>Freshness</t>
        </is>
      </c>
      <c r="D46" s="5">
        <f>COUNTIF('Test Cases'!$C:$C,"*NFR-02*")</f>
        <v/>
      </c>
      <c r="E46" s="5">
        <f>COUNTIFS('Test Cases'!$C:$C,"*NFR-02*",'Test Cases'!$R:$R,"Passed")</f>
        <v/>
      </c>
      <c r="F46" s="5">
        <f>IF(D46=0,"GAP",IF(E46=D46,"VERIFIED","PLANNED / INCOMPLETE"))</f>
        <v/>
      </c>
    </row>
    <row r="47">
      <c r="A47" s="5" t="inlineStr">
        <is>
          <t>NFR-03</t>
        </is>
      </c>
      <c r="B47" s="5" t="inlineStr">
        <is>
          <t>FRS/SRS</t>
        </is>
      </c>
      <c r="C47" s="5" t="inlineStr">
        <is>
          <t>Security</t>
        </is>
      </c>
      <c r="D47" s="5">
        <f>COUNTIF('Test Cases'!$C:$C,"*NFR-03*")</f>
        <v/>
      </c>
      <c r="E47" s="5">
        <f>COUNTIFS('Test Cases'!$C:$C,"*NFR-03*",'Test Cases'!$R:$R,"Passed")</f>
        <v/>
      </c>
      <c r="F47" s="5">
        <f>IF(D47=0,"GAP",IF(E47=D47,"VERIFIED","PLANNED / INCOMPLETE"))</f>
        <v/>
      </c>
    </row>
    <row r="48">
      <c r="A48" s="5" t="inlineStr">
        <is>
          <t>NFR-04</t>
        </is>
      </c>
      <c r="B48" s="5" t="inlineStr">
        <is>
          <t>FRS/SRS</t>
        </is>
      </c>
      <c r="C48" s="5" t="inlineStr">
        <is>
          <t>Usability</t>
        </is>
      </c>
      <c r="D48" s="5">
        <f>COUNTIF('Test Cases'!$C:$C,"*NFR-04*")</f>
        <v/>
      </c>
      <c r="E48" s="5">
        <f>COUNTIFS('Test Cases'!$C:$C,"*NFR-04*",'Test Cases'!$R:$R,"Passed")</f>
        <v/>
      </c>
      <c r="F48" s="5">
        <f>IF(D48=0,"GAP",IF(E48=D48,"VERIFIED","PLANNED / INCOMPLETE"))</f>
        <v/>
      </c>
    </row>
    <row r="49">
      <c r="A49" s="5" t="inlineStr">
        <is>
          <t>NFR-05</t>
        </is>
      </c>
      <c r="B49" s="5" t="inlineStr">
        <is>
          <t>FRS/SRS</t>
        </is>
      </c>
      <c r="C49" s="5" t="inlineStr">
        <is>
          <t>Reliability</t>
        </is>
      </c>
      <c r="D49" s="5">
        <f>COUNTIF('Test Cases'!$C:$C,"*NFR-05*")</f>
        <v/>
      </c>
      <c r="E49" s="5">
        <f>COUNTIFS('Test Cases'!$C:$C,"*NFR-05*",'Test Cases'!$R:$R,"Passed")</f>
        <v/>
      </c>
      <c r="F49" s="5">
        <f>IF(D49=0,"GAP",IF(E49=D49,"VERIFIED","PLANNED / INCOMPLETE"))</f>
        <v/>
      </c>
    </row>
    <row r="50">
      <c r="A50" s="5" t="inlineStr">
        <is>
          <t>NFR-06</t>
        </is>
      </c>
      <c r="B50" s="5" t="inlineStr">
        <is>
          <t>FRS/SRS</t>
        </is>
      </c>
      <c r="C50" s="5" t="inlineStr">
        <is>
          <t>Maintainability</t>
        </is>
      </c>
      <c r="D50" s="5">
        <f>COUNTIF('Test Cases'!$C:$C,"*NFR-06*")</f>
        <v/>
      </c>
      <c r="E50" s="5">
        <f>COUNTIFS('Test Cases'!$C:$C,"*NFR-06*",'Test Cases'!$R:$R,"Passed")</f>
        <v/>
      </c>
      <c r="F50" s="5">
        <f>IF(D50=0,"GAP",IF(E50=D50,"VERIFIED","PLANNED / INCOMPLETE"))</f>
        <v/>
      </c>
    </row>
    <row r="51">
      <c r="A51" s="5" t="inlineStr">
        <is>
          <t>NFR-07</t>
        </is>
      </c>
      <c r="B51" s="5" t="inlineStr">
        <is>
          <t>FRS/SRS</t>
        </is>
      </c>
      <c r="C51" s="5" t="inlineStr">
        <is>
          <t>Portability</t>
        </is>
      </c>
      <c r="D51" s="5">
        <f>COUNTIF('Test Cases'!$C:$C,"*NFR-07*")</f>
        <v/>
      </c>
      <c r="E51" s="5">
        <f>COUNTIFS('Test Cases'!$C:$C,"*NFR-07*",'Test Cases'!$R:$R,"Passed")</f>
        <v/>
      </c>
      <c r="F51" s="5">
        <f>IF(D51=0,"GAP",IF(E51=D51,"VERIFIED","PLANNED / INCOMPLETE"))</f>
        <v/>
      </c>
    </row>
    <row r="52">
      <c r="A52" s="5" t="inlineStr">
        <is>
          <t>NFR-08</t>
        </is>
      </c>
      <c r="B52" s="5" t="inlineStr">
        <is>
          <t>FRS/SRS</t>
        </is>
      </c>
      <c r="C52" s="5" t="inlineStr">
        <is>
          <t>Auditability</t>
        </is>
      </c>
      <c r="D52" s="5">
        <f>COUNTIF('Test Cases'!$C:$C,"*NFR-08*")</f>
        <v/>
      </c>
      <c r="E52" s="5">
        <f>COUNTIFS('Test Cases'!$C:$C,"*NFR-08*",'Test Cases'!$R:$R,"Passed")</f>
        <v/>
      </c>
      <c r="F52" s="5">
        <f>IF(D52=0,"GAP",IF(E52=D52,"VERIFIED","PLANNED / INCOMPLETE"))</f>
        <v/>
      </c>
    </row>
    <row r="53">
      <c r="A53" s="5" t="inlineStr">
        <is>
          <t>NFR-09</t>
        </is>
      </c>
      <c r="B53" s="5" t="inlineStr">
        <is>
          <t>FRS/SRS</t>
        </is>
      </c>
      <c r="C53" s="5" t="inlineStr">
        <is>
          <t>Transaction integrity</t>
        </is>
      </c>
      <c r="D53" s="5">
        <f>COUNTIF('Test Cases'!$C:$C,"*NFR-09*")</f>
        <v/>
      </c>
      <c r="E53" s="5">
        <f>COUNTIFS('Test Cases'!$C:$C,"*NFR-09*",'Test Cases'!$R:$R,"Passed")</f>
        <v/>
      </c>
      <c r="F53" s="5">
        <f>IF(D53=0,"GAP",IF(E53=D53,"VERIFIED","PLANNED / INCOMPLETE"))</f>
        <v/>
      </c>
    </row>
    <row r="54">
      <c r="A54" s="5" t="inlineStr">
        <is>
          <t>NFR-10</t>
        </is>
      </c>
      <c r="B54" s="5" t="inlineStr">
        <is>
          <t>FRS/SRS</t>
        </is>
      </c>
      <c r="C54" s="5" t="inlineStr">
        <is>
          <t>Tenant isolation</t>
        </is>
      </c>
      <c r="D54" s="5">
        <f>COUNTIF('Test Cases'!$C:$C,"*NFR-10*")</f>
        <v/>
      </c>
      <c r="E54" s="5">
        <f>COUNTIFS('Test Cases'!$C:$C,"*NFR-10*",'Test Cases'!$R:$R,"Passed")</f>
        <v/>
      </c>
      <c r="F54" s="5">
        <f>IF(D54=0,"GAP",IF(E54=D54,"VERIFIED","PLANNED / INCOMPLETE"))</f>
        <v/>
      </c>
    </row>
  </sheetData>
  <autoFilter ref="A4:F54"/>
  <mergeCells count="2">
    <mergeCell ref="A2:F2"/>
    <mergeCell ref="A1:F1"/>
  </mergeCells>
  <pageMargins left="0.3" right="0.3" top="0.5" bottom="0.5" header="0.2" footer="0.2"/>
  <pageSetup orientation="landscape" fitToHeight="0" fitToWidth="1"/>
  <headerFooter>
    <oddHeader/>
    <oddFooter>&amp;CJima — CARAVAN Lounge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6"/>
  <sheetViews>
    <sheetView showGridLines="0" workbookViewId="0">
      <pane ySplit="4" topLeftCell="A5" activePane="bottomLeft" state="frozen"/>
      <selection pane="bottomLeft" activeCell="A1" sqref="A1"/>
    </sheetView>
  </sheetViews>
  <sheetFormatPr baseColWidth="8" defaultRowHeight="15"/>
  <cols>
    <col width="16" customWidth="1" min="1" max="1"/>
    <col width="20" customWidth="1" min="2" max="2"/>
    <col width="38" customWidth="1" min="3" max="3"/>
    <col width="16" customWidth="1" min="4" max="4"/>
    <col width="18" customWidth="1" min="5" max="5"/>
    <col width="34" customWidth="1" min="6" max="6"/>
    <col width="24" customWidth="1" min="7" max="7"/>
    <col width="24" customWidth="1" min="8" max="8"/>
    <col width="44" customWidth="1" min="9" max="9"/>
  </cols>
  <sheetData>
    <row r="1">
      <c r="A1" s="1" t="inlineStr">
        <is>
          <t>Test Data Plan</t>
        </is>
      </c>
    </row>
    <row r="2">
      <c r="A2" s="2" t="inlineStr">
        <is>
          <t>Safe synthetic data only. Credential values stay in an approved secret manager and are never copied here.</t>
        </is>
      </c>
    </row>
    <row r="3"/>
    <row r="4">
      <c r="A4" s="3" t="inlineStr">
        <is>
          <t>Dataset ID</t>
        </is>
      </c>
      <c r="B4" s="3" t="inlineStr">
        <is>
          <t>Entity</t>
        </is>
      </c>
      <c r="C4" s="3" t="inlineStr">
        <is>
          <t>Synthetic record</t>
        </is>
      </c>
      <c r="D4" s="3" t="inlineStr">
        <is>
          <t>Restaurant</t>
        </is>
      </c>
      <c r="E4" s="3" t="inlineStr">
        <is>
          <t>Branch</t>
        </is>
      </c>
      <c r="F4" s="3" t="inlineStr">
        <is>
          <t>Purpose / boundary</t>
        </is>
      </c>
      <c r="G4" s="3" t="inlineStr">
        <is>
          <t>Creation method</t>
        </is>
      </c>
      <c r="H4" s="3" t="inlineStr">
        <is>
          <t>Reset method</t>
        </is>
      </c>
      <c r="I4" s="3" t="inlineStr">
        <is>
          <t>Sensitive-data rule</t>
        </is>
      </c>
    </row>
    <row r="5">
      <c r="A5" s="4" t="inlineStr">
        <is>
          <t>TD-ORG-01</t>
        </is>
      </c>
      <c r="B5" s="4" t="inlineStr">
        <is>
          <t>Restaurant</t>
        </is>
      </c>
      <c r="C5" s="4" t="inlineStr">
        <is>
          <t>Jima QA Restaurant A</t>
        </is>
      </c>
      <c r="D5" s="4" t="inlineStr">
        <is>
          <t>A</t>
        </is>
      </c>
      <c r="E5" s="4" t="inlineStr">
        <is>
          <t>—</t>
        </is>
      </c>
      <c r="F5" s="4" t="inlineStr">
        <is>
          <t>Primary tenant</t>
        </is>
      </c>
      <c r="G5" s="4" t="inlineStr">
        <is>
          <t>Controlled fixture/API</t>
        </is>
      </c>
      <c r="H5" s="4" t="inlineStr">
        <is>
          <t>Snapshot restore</t>
        </is>
      </c>
      <c r="I5" s="4" t="inlineStr">
        <is>
          <t>No real company contact data</t>
        </is>
      </c>
    </row>
    <row r="6">
      <c r="A6" s="4" t="inlineStr">
        <is>
          <t>TD-ORG-02</t>
        </is>
      </c>
      <c r="B6" s="4" t="inlineStr">
        <is>
          <t>Restaurant</t>
        </is>
      </c>
      <c r="C6" s="4" t="inlineStr">
        <is>
          <t>Jima QA Restaurant B</t>
        </is>
      </c>
      <c r="D6" s="4" t="inlineStr">
        <is>
          <t>B</t>
        </is>
      </c>
      <c r="E6" s="4" t="inlineStr">
        <is>
          <t>—</t>
        </is>
      </c>
      <c r="F6" s="4" t="inlineStr">
        <is>
          <t>Cross-tenant denial</t>
        </is>
      </c>
      <c r="G6" s="4" t="inlineStr">
        <is>
          <t>Controlled fixture/API</t>
        </is>
      </c>
      <c r="H6" s="4" t="inlineStr">
        <is>
          <t>Snapshot restore</t>
        </is>
      </c>
      <c r="I6" s="4" t="inlineStr">
        <is>
          <t>Clearly marked synthetic</t>
        </is>
      </c>
    </row>
    <row r="7">
      <c r="A7" s="4" t="inlineStr">
        <is>
          <t>TD-BR-01</t>
        </is>
      </c>
      <c r="B7" s="4" t="inlineStr">
        <is>
          <t>Branch</t>
        </is>
      </c>
      <c r="C7" s="4" t="inlineStr">
        <is>
          <t>Addis QA Branch A1</t>
        </is>
      </c>
      <c r="D7" s="4" t="inlineStr">
        <is>
          <t>A</t>
        </is>
      </c>
      <c r="E7" s="4" t="inlineStr">
        <is>
          <t>A1</t>
        </is>
      </c>
      <c r="F7" s="4" t="inlineStr">
        <is>
          <t>Primary branch</t>
        </is>
      </c>
      <c r="G7" s="4" t="inlineStr">
        <is>
          <t>Controlled fixture/API</t>
        </is>
      </c>
      <c r="H7" s="4" t="inlineStr">
        <is>
          <t>Snapshot restore</t>
        </is>
      </c>
      <c r="I7" s="4" t="inlineStr">
        <is>
          <t>Fake address/phone</t>
        </is>
      </c>
    </row>
    <row r="8">
      <c r="A8" s="4" t="inlineStr">
        <is>
          <t>TD-BR-02</t>
        </is>
      </c>
      <c r="B8" s="4" t="inlineStr">
        <is>
          <t>Branch</t>
        </is>
      </c>
      <c r="C8" s="4" t="inlineStr">
        <is>
          <t>Bole QA Branch A2</t>
        </is>
      </c>
      <c r="D8" s="4" t="inlineStr">
        <is>
          <t>A</t>
        </is>
      </c>
      <c r="E8" s="4" t="inlineStr">
        <is>
          <t>A2</t>
        </is>
      </c>
      <c r="F8" s="4" t="inlineStr">
        <is>
          <t>Cross-branch denial</t>
        </is>
      </c>
      <c r="G8" s="4" t="inlineStr">
        <is>
          <t>Controlled fixture/API</t>
        </is>
      </c>
      <c r="H8" s="4" t="inlineStr">
        <is>
          <t>Snapshot restore</t>
        </is>
      </c>
      <c r="I8" s="4" t="inlineStr">
        <is>
          <t>Fake address/phone</t>
        </is>
      </c>
    </row>
    <row r="9">
      <c r="A9" s="4" t="inlineStr">
        <is>
          <t>TD-BR-03</t>
        </is>
      </c>
      <c r="B9" s="4" t="inlineStr">
        <is>
          <t>Branch</t>
        </is>
      </c>
      <c r="C9" s="4" t="inlineStr">
        <is>
          <t>Bahir QA Branch B1</t>
        </is>
      </c>
      <c r="D9" s="4" t="inlineStr">
        <is>
          <t>B</t>
        </is>
      </c>
      <c r="E9" s="4" t="inlineStr">
        <is>
          <t>B1</t>
        </is>
      </c>
      <c r="F9" s="4" t="inlineStr">
        <is>
          <t>Cross-restaurant denial</t>
        </is>
      </c>
      <c r="G9" s="4" t="inlineStr">
        <is>
          <t>Controlled fixture/API</t>
        </is>
      </c>
      <c r="H9" s="4" t="inlineStr">
        <is>
          <t>Snapshot restore</t>
        </is>
      </c>
      <c r="I9" s="4" t="inlineStr">
        <is>
          <t>Fake address/phone</t>
        </is>
      </c>
    </row>
    <row r="10">
      <c r="A10" s="4" t="inlineStr">
        <is>
          <t>TD-USR-01</t>
        </is>
      </c>
      <c r="B10" s="4" t="inlineStr">
        <is>
          <t>Users</t>
        </is>
      </c>
      <c r="C10" s="4" t="inlineStr">
        <is>
          <t>One account for each of 9 identities</t>
        </is>
      </c>
      <c r="D10" s="4" t="inlineStr">
        <is>
          <t>A/B</t>
        </is>
      </c>
      <c r="E10" s="4" t="inlineStr">
        <is>
          <t>A1/A2/B1/none</t>
        </is>
      </c>
      <c r="F10" s="4" t="inlineStr">
        <is>
          <t>RBAC matrix incl. both storekeepers</t>
        </is>
      </c>
      <c r="G10" s="4" t="inlineStr">
        <is>
          <t>Admin provisioning</t>
        </is>
      </c>
      <c r="H10" s="4" t="inlineStr">
        <is>
          <t>Deactivate/delete fixture</t>
        </is>
      </c>
      <c r="I10" s="4" t="inlineStr">
        <is>
          <t>Use @example.test; password by secret alias only</t>
        </is>
      </c>
    </row>
    <row r="11">
      <c r="A11" s="4" t="inlineStr">
        <is>
          <t>TD-MENU-01</t>
        </is>
      </c>
      <c r="B11" s="4" t="inlineStr">
        <is>
          <t>Menu</t>
        </is>
      </c>
      <c r="C11" s="4" t="inlineStr">
        <is>
          <t>Categories and items: available/unavailable, ETB decimals</t>
        </is>
      </c>
      <c r="D11" s="4" t="inlineStr">
        <is>
          <t>A</t>
        </is>
      </c>
      <c r="E11" s="4" t="inlineStr">
        <is>
          <t>A1</t>
        </is>
      </c>
      <c r="F11" s="4" t="inlineStr">
        <is>
          <t>POS, totals, boundary</t>
        </is>
      </c>
      <c r="G11" s="4" t="inlineStr">
        <is>
          <t>Manager UI/API</t>
        </is>
      </c>
      <c r="H11" s="4" t="inlineStr">
        <is>
          <t>Delete fixture</t>
        </is>
      </c>
      <c r="I11" s="4" t="inlineStr">
        <is>
          <t>No copied production menu required</t>
        </is>
      </c>
    </row>
    <row r="12">
      <c r="A12" s="4" t="inlineStr">
        <is>
          <t>TD-TBL-01</t>
        </is>
      </c>
      <c r="B12" s="4" t="inlineStr">
        <is>
          <t>Tables</t>
        </is>
      </c>
      <c r="C12" s="4" t="inlineStr">
        <is>
          <t>Available/occupied tables and duplicate-number candidate</t>
        </is>
      </c>
      <c r="D12" s="4" t="inlineStr">
        <is>
          <t>A</t>
        </is>
      </c>
      <c r="E12" s="4" t="inlineStr">
        <is>
          <t>A1/A2</t>
        </is>
      </c>
      <c r="F12" s="4" t="inlineStr">
        <is>
          <t>Occupancy and isolation</t>
        </is>
      </c>
      <c r="G12" s="4" t="inlineStr">
        <is>
          <t>Manager UI/API</t>
        </is>
      </c>
      <c r="H12" s="4" t="inlineStr">
        <is>
          <t>Restore statuses</t>
        </is>
      </c>
      <c r="I12" s="4" t="inlineStr">
        <is>
          <t>No customer data</t>
        </is>
      </c>
    </row>
    <row r="13">
      <c r="A13" s="4" t="inlineStr">
        <is>
          <t>TD-ORD-01</t>
        </is>
      </c>
      <c r="B13" s="4" t="inlineStr">
        <is>
          <t>Orders</t>
        </is>
      </c>
      <c r="C13" s="4" t="inlineStr">
        <is>
          <t>One order at each lifecycle status plus concurrent candidate</t>
        </is>
      </c>
      <c r="D13" s="4" t="inlineStr">
        <is>
          <t>A</t>
        </is>
      </c>
      <c r="E13" s="4" t="inlineStr">
        <is>
          <t>A1</t>
        </is>
      </c>
      <c r="F13" s="4" t="inlineStr">
        <is>
          <t>Lifecycle/payment/filters</t>
        </is>
      </c>
      <c r="G13" s="4" t="inlineStr">
        <is>
          <t>Supported workflows</t>
        </is>
      </c>
      <c r="H13" s="4" t="inlineStr">
        <is>
          <t>Complete/cancel or snapshot</t>
        </is>
      </c>
      <c r="I13" s="4" t="inlineStr">
        <is>
          <t>Fake notes and example phone</t>
        </is>
      </c>
    </row>
    <row r="14">
      <c r="A14" s="4" t="inlineStr">
        <is>
          <t>TD-INV-01</t>
        </is>
      </c>
      <c r="B14" s="4" t="inlineStr">
        <is>
          <t>Inventory</t>
        </is>
      </c>
      <c r="C14" s="4" t="inlineStr">
        <is>
          <t>Normal, warning, critical, zero, near-expiry, expired items</t>
        </is>
      </c>
      <c r="D14" s="4" t="inlineStr">
        <is>
          <t>A/B</t>
        </is>
      </c>
      <c r="E14" s="4" t="inlineStr">
        <is>
          <t>A1/A2/B1</t>
        </is>
      </c>
      <c r="F14" s="4" t="inlineStr">
        <is>
          <t>Alerts/procurement/isolation</t>
        </is>
      </c>
      <c r="G14" s="4" t="inlineStr">
        <is>
          <t>Store UI/API</t>
        </is>
      </c>
      <c r="H14" s="4" t="inlineStr">
        <is>
          <t>Snapshot restore</t>
        </is>
      </c>
      <c r="I14" s="4" t="inlineStr">
        <is>
          <t>Known units/costs and recorded baselines</t>
        </is>
      </c>
    </row>
    <row r="15">
      <c r="A15" s="4" t="inlineStr">
        <is>
          <t>TD-MS-01</t>
        </is>
      </c>
      <c r="B15" s="4" t="inlineStr">
        <is>
          <t>Main Store</t>
        </is>
      </c>
      <c r="C15" s="4" t="inlineStr">
        <is>
          <t>Sufficient and insufficient multi-line items</t>
        </is>
      </c>
      <c r="D15" s="4" t="inlineStr">
        <is>
          <t>A/B</t>
        </is>
      </c>
      <c r="E15" s="4" t="inlineStr">
        <is>
          <t>none</t>
        </is>
      </c>
      <c r="F15" s="4" t="inlineStr">
        <is>
          <t>Atomic transfer/rollback</t>
        </is>
      </c>
      <c r="G15" s="4" t="inlineStr">
        <is>
          <t>Main Store receipt</t>
        </is>
      </c>
      <c r="H15" s="4" t="inlineStr">
        <is>
          <t>Snapshot restore</t>
        </is>
      </c>
      <c r="I15" s="4" t="inlineStr">
        <is>
          <t>Record central/branch balances before every case</t>
        </is>
      </c>
    </row>
    <row r="16">
      <c r="A16" s="4" t="inlineStr">
        <is>
          <t>TD-EXP-01</t>
        </is>
      </c>
      <c r="B16" s="4" t="inlineStr">
        <is>
          <t>Reports</t>
        </is>
      </c>
      <c r="C16" s="4" t="inlineStr">
        <is>
          <t>Known dates/methods/categories and zero-data range</t>
        </is>
      </c>
      <c r="D16" s="4" t="inlineStr">
        <is>
          <t>A</t>
        </is>
      </c>
      <c r="E16" s="4" t="inlineStr">
        <is>
          <t>A1</t>
        </is>
      </c>
      <c r="F16" s="4" t="inlineStr">
        <is>
          <t>Filter/totals/export</t>
        </is>
      </c>
      <c r="G16" s="4" t="inlineStr">
        <is>
          <t>Supported workflows</t>
        </is>
      </c>
      <c r="H16" s="4" t="inlineStr">
        <is>
          <t>Snapshot restore</t>
        </is>
      </c>
      <c r="I16" s="4" t="inlineStr">
        <is>
          <t>No actual customer PII</t>
        </is>
      </c>
    </row>
  </sheetData>
  <autoFilter ref="A4:I16"/>
  <mergeCells count="2">
    <mergeCell ref="A1:I1"/>
    <mergeCell ref="A2:I2"/>
  </mergeCells>
  <pageMargins left="0.3" right="0.3" top="0.5" bottom="0.5" header="0.2" footer="0.2"/>
  <pageSetup orientation="landscape" fitToHeight="0" fitToWidth="1"/>
  <headerFooter>
    <oddHeader/>
    <oddFooter>&amp;CJima — CARAVAN Lounge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O501"/>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20" customWidth="1" min="5" max="5"/>
    <col width="38" customWidth="1" min="6" max="6"/>
    <col width="25" customWidth="1" min="7" max="7"/>
    <col width="55" customWidth="1" min="8" max="8"/>
    <col width="40" customWidth="1" min="9" max="9"/>
    <col width="40" customWidth="1" min="10" max="10"/>
    <col width="28" customWidth="1" min="11" max="11"/>
    <col width="20" customWidth="1" min="12" max="12"/>
    <col width="16" customWidth="1" min="13" max="13"/>
    <col width="16" customWidth="1" min="14" max="14"/>
    <col width="30" customWidth="1" min="15" max="15"/>
  </cols>
  <sheetData>
    <row r="1">
      <c r="A1" s="3" t="inlineStr">
        <is>
          <t>Defect ID</t>
        </is>
      </c>
      <c r="B1" s="3" t="inlineStr">
        <is>
          <t>Linked Test ID</t>
        </is>
      </c>
      <c r="C1" s="3" t="inlineStr">
        <is>
          <t>Severity</t>
        </is>
      </c>
      <c r="D1" s="3" t="inlineStr">
        <is>
          <t>Priority</t>
        </is>
      </c>
      <c r="E1" s="3" t="inlineStr">
        <is>
          <t>Status</t>
        </is>
      </c>
      <c r="F1" s="3" t="inlineStr">
        <is>
          <t>Title</t>
        </is>
      </c>
      <c r="G1" s="3" t="inlineStr">
        <is>
          <t>Environment / Build</t>
        </is>
      </c>
      <c r="H1" s="3" t="inlineStr">
        <is>
          <t>Steps to Reproduce</t>
        </is>
      </c>
      <c r="I1" s="3" t="inlineStr">
        <is>
          <t>Expected</t>
        </is>
      </c>
      <c r="J1" s="3" t="inlineStr">
        <is>
          <t>Actual</t>
        </is>
      </c>
      <c r="K1" s="3" t="inlineStr">
        <is>
          <t>Evidence Link</t>
        </is>
      </c>
      <c r="L1" s="3" t="inlineStr">
        <is>
          <t>Owner</t>
        </is>
      </c>
      <c r="M1" s="3" t="inlineStr">
        <is>
          <t>Target Fix</t>
        </is>
      </c>
      <c r="N1" s="3" t="inlineStr">
        <is>
          <t>Retest Result</t>
        </is>
      </c>
      <c r="O1" s="3" t="inlineStr">
        <is>
          <t>Notes</t>
        </is>
      </c>
    </row>
    <row r="2">
      <c r="A2" s="4" t="n"/>
      <c r="B2" s="4" t="n"/>
      <c r="C2" s="4" t="n"/>
      <c r="D2" s="4" t="n"/>
      <c r="E2" s="4" t="n"/>
      <c r="F2" s="4" t="n"/>
      <c r="G2" s="4" t="n"/>
      <c r="H2" s="4" t="n"/>
      <c r="I2" s="4" t="n"/>
      <c r="J2" s="4" t="n"/>
      <c r="K2" s="4" t="n"/>
      <c r="L2" s="4" t="n"/>
      <c r="M2" s="4" t="n"/>
      <c r="N2" s="4" t="n"/>
      <c r="O2" s="4" t="n"/>
    </row>
    <row r="3">
      <c r="A3" s="4" t="n"/>
      <c r="B3" s="4" t="n"/>
      <c r="C3" s="4" t="n"/>
      <c r="D3" s="4" t="n"/>
      <c r="E3" s="4" t="n"/>
      <c r="F3" s="4" t="n"/>
      <c r="G3" s="4" t="n"/>
      <c r="H3" s="4" t="n"/>
      <c r="I3" s="4" t="n"/>
      <c r="J3" s="4" t="n"/>
      <c r="K3" s="4" t="n"/>
      <c r="L3" s="4" t="n"/>
      <c r="M3" s="4" t="n"/>
      <c r="N3" s="4" t="n"/>
      <c r="O3" s="4" t="n"/>
    </row>
    <row r="4">
      <c r="A4" s="4" t="n"/>
      <c r="B4" s="4" t="n"/>
      <c r="C4" s="4" t="n"/>
      <c r="D4" s="4" t="n"/>
      <c r="E4" s="4" t="n"/>
      <c r="F4" s="4" t="n"/>
      <c r="G4" s="4" t="n"/>
      <c r="H4" s="4" t="n"/>
      <c r="I4" s="4" t="n"/>
      <c r="J4" s="4" t="n"/>
      <c r="K4" s="4" t="n"/>
      <c r="L4" s="4" t="n"/>
      <c r="M4" s="4" t="n"/>
      <c r="N4" s="4" t="n"/>
      <c r="O4" s="4" t="n"/>
    </row>
    <row r="5">
      <c r="A5" s="4" t="n"/>
      <c r="B5" s="4" t="n"/>
      <c r="C5" s="4" t="n"/>
      <c r="D5" s="4" t="n"/>
      <c r="E5" s="4" t="n"/>
      <c r="F5" s="4" t="n"/>
      <c r="G5" s="4" t="n"/>
      <c r="H5" s="4" t="n"/>
      <c r="I5" s="4" t="n"/>
      <c r="J5" s="4" t="n"/>
      <c r="K5" s="4" t="n"/>
      <c r="L5" s="4" t="n"/>
      <c r="M5" s="4" t="n"/>
      <c r="N5" s="4" t="n"/>
      <c r="O5" s="4" t="n"/>
    </row>
    <row r="6">
      <c r="A6" s="4" t="n"/>
      <c r="B6" s="4" t="n"/>
      <c r="C6" s="4" t="n"/>
      <c r="D6" s="4" t="n"/>
      <c r="E6" s="4" t="n"/>
      <c r="F6" s="4" t="n"/>
      <c r="G6" s="4" t="n"/>
      <c r="H6" s="4" t="n"/>
      <c r="I6" s="4" t="n"/>
      <c r="J6" s="4" t="n"/>
      <c r="K6" s="4" t="n"/>
      <c r="L6" s="4" t="n"/>
      <c r="M6" s="4" t="n"/>
      <c r="N6" s="4" t="n"/>
      <c r="O6" s="4" t="n"/>
    </row>
    <row r="7">
      <c r="A7" s="4" t="n"/>
      <c r="B7" s="4" t="n"/>
      <c r="C7" s="4" t="n"/>
      <c r="D7" s="4" t="n"/>
      <c r="E7" s="4" t="n"/>
      <c r="F7" s="4" t="n"/>
      <c r="G7" s="4" t="n"/>
      <c r="H7" s="4" t="n"/>
      <c r="I7" s="4" t="n"/>
      <c r="J7" s="4" t="n"/>
      <c r="K7" s="4" t="n"/>
      <c r="L7" s="4" t="n"/>
      <c r="M7" s="4" t="n"/>
      <c r="N7" s="4" t="n"/>
      <c r="O7" s="4" t="n"/>
    </row>
    <row r="8">
      <c r="A8" s="4" t="n"/>
      <c r="B8" s="4" t="n"/>
      <c r="C8" s="4" t="n"/>
      <c r="D8" s="4" t="n"/>
      <c r="E8" s="4" t="n"/>
      <c r="F8" s="4" t="n"/>
      <c r="G8" s="4" t="n"/>
      <c r="H8" s="4" t="n"/>
      <c r="I8" s="4" t="n"/>
      <c r="J8" s="4" t="n"/>
      <c r="K8" s="4" t="n"/>
      <c r="L8" s="4" t="n"/>
      <c r="M8" s="4" t="n"/>
      <c r="N8" s="4" t="n"/>
      <c r="O8" s="4" t="n"/>
    </row>
    <row r="9">
      <c r="A9" s="4" t="n"/>
      <c r="B9" s="4" t="n"/>
      <c r="C9" s="4" t="n"/>
      <c r="D9" s="4" t="n"/>
      <c r="E9" s="4" t="n"/>
      <c r="F9" s="4" t="n"/>
      <c r="G9" s="4" t="n"/>
      <c r="H9" s="4" t="n"/>
      <c r="I9" s="4" t="n"/>
      <c r="J9" s="4" t="n"/>
      <c r="K9" s="4" t="n"/>
      <c r="L9" s="4" t="n"/>
      <c r="M9" s="4" t="n"/>
      <c r="N9" s="4" t="n"/>
      <c r="O9" s="4" t="n"/>
    </row>
    <row r="10">
      <c r="A10" s="4" t="n"/>
      <c r="B10" s="4" t="n"/>
      <c r="C10" s="4" t="n"/>
      <c r="D10" s="4" t="n"/>
      <c r="E10" s="4" t="n"/>
      <c r="F10" s="4" t="n"/>
      <c r="G10" s="4" t="n"/>
      <c r="H10" s="4" t="n"/>
      <c r="I10" s="4" t="n"/>
      <c r="J10" s="4" t="n"/>
      <c r="K10" s="4" t="n"/>
      <c r="L10" s="4" t="n"/>
      <c r="M10" s="4" t="n"/>
      <c r="N10" s="4" t="n"/>
      <c r="O10" s="4" t="n"/>
    </row>
    <row r="11">
      <c r="A11" s="4" t="n"/>
      <c r="B11" s="4" t="n"/>
      <c r="C11" s="4" t="n"/>
      <c r="D11" s="4" t="n"/>
      <c r="E11" s="4" t="n"/>
      <c r="F11" s="4" t="n"/>
      <c r="G11" s="4" t="n"/>
      <c r="H11" s="4" t="n"/>
      <c r="I11" s="4" t="n"/>
      <c r="J11" s="4" t="n"/>
      <c r="K11" s="4" t="n"/>
      <c r="L11" s="4" t="n"/>
      <c r="M11" s="4" t="n"/>
      <c r="N11" s="4" t="n"/>
      <c r="O11" s="4" t="n"/>
    </row>
    <row r="12">
      <c r="A12" s="4" t="n"/>
      <c r="B12" s="4" t="n"/>
      <c r="C12" s="4" t="n"/>
      <c r="D12" s="4" t="n"/>
      <c r="E12" s="4" t="n"/>
      <c r="F12" s="4" t="n"/>
      <c r="G12" s="4" t="n"/>
      <c r="H12" s="4" t="n"/>
      <c r="I12" s="4" t="n"/>
      <c r="J12" s="4" t="n"/>
      <c r="K12" s="4" t="n"/>
      <c r="L12" s="4" t="n"/>
      <c r="M12" s="4" t="n"/>
      <c r="N12" s="4" t="n"/>
      <c r="O12" s="4" t="n"/>
    </row>
    <row r="13">
      <c r="A13" s="4" t="n"/>
      <c r="B13" s="4" t="n"/>
      <c r="C13" s="4" t="n"/>
      <c r="D13" s="4" t="n"/>
      <c r="E13" s="4" t="n"/>
      <c r="F13" s="4" t="n"/>
      <c r="G13" s="4" t="n"/>
      <c r="H13" s="4" t="n"/>
      <c r="I13" s="4" t="n"/>
      <c r="J13" s="4" t="n"/>
      <c r="K13" s="4" t="n"/>
      <c r="L13" s="4" t="n"/>
      <c r="M13" s="4" t="n"/>
      <c r="N13" s="4" t="n"/>
      <c r="O13" s="4" t="n"/>
    </row>
    <row r="14">
      <c r="A14" s="4" t="n"/>
      <c r="B14" s="4" t="n"/>
      <c r="C14" s="4" t="n"/>
      <c r="D14" s="4" t="n"/>
      <c r="E14" s="4" t="n"/>
      <c r="F14" s="4" t="n"/>
      <c r="G14" s="4" t="n"/>
      <c r="H14" s="4" t="n"/>
      <c r="I14" s="4" t="n"/>
      <c r="J14" s="4" t="n"/>
      <c r="K14" s="4" t="n"/>
      <c r="L14" s="4" t="n"/>
      <c r="M14" s="4" t="n"/>
      <c r="N14" s="4" t="n"/>
      <c r="O14" s="4" t="n"/>
    </row>
    <row r="15">
      <c r="A15" s="4" t="n"/>
      <c r="B15" s="4" t="n"/>
      <c r="C15" s="4" t="n"/>
      <c r="D15" s="4" t="n"/>
      <c r="E15" s="4" t="n"/>
      <c r="F15" s="4" t="n"/>
      <c r="G15" s="4" t="n"/>
      <c r="H15" s="4" t="n"/>
      <c r="I15" s="4" t="n"/>
      <c r="J15" s="4" t="n"/>
      <c r="K15" s="4" t="n"/>
      <c r="L15" s="4" t="n"/>
      <c r="M15" s="4" t="n"/>
      <c r="N15" s="4" t="n"/>
      <c r="O15" s="4" t="n"/>
    </row>
    <row r="16">
      <c r="A16" s="4" t="n"/>
      <c r="B16" s="4" t="n"/>
      <c r="C16" s="4" t="n"/>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c r="A19" s="4" t="n"/>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row r="81">
      <c r="A81" s="4" t="n"/>
      <c r="B81" s="4" t="n"/>
      <c r="C81" s="4" t="n"/>
      <c r="D81" s="4" t="n"/>
      <c r="E81" s="4" t="n"/>
      <c r="F81" s="4" t="n"/>
      <c r="G81" s="4" t="n"/>
      <c r="H81" s="4" t="n"/>
      <c r="I81" s="4" t="n"/>
      <c r="J81" s="4" t="n"/>
      <c r="K81" s="4" t="n"/>
      <c r="L81" s="4" t="n"/>
      <c r="M81" s="4" t="n"/>
      <c r="N81" s="4" t="n"/>
      <c r="O81" s="4" t="n"/>
    </row>
    <row r="82">
      <c r="A82" s="4" t="n"/>
      <c r="B82" s="4" t="n"/>
      <c r="C82" s="4" t="n"/>
      <c r="D82" s="4" t="n"/>
      <c r="E82" s="4" t="n"/>
      <c r="F82" s="4" t="n"/>
      <c r="G82" s="4" t="n"/>
      <c r="H82" s="4" t="n"/>
      <c r="I82" s="4" t="n"/>
      <c r="J82" s="4" t="n"/>
      <c r="K82" s="4" t="n"/>
      <c r="L82" s="4" t="n"/>
      <c r="M82" s="4" t="n"/>
      <c r="N82" s="4" t="n"/>
      <c r="O82" s="4" t="n"/>
    </row>
    <row r="83">
      <c r="A83" s="4" t="n"/>
      <c r="B83" s="4" t="n"/>
      <c r="C83" s="4" t="n"/>
      <c r="D83" s="4" t="n"/>
      <c r="E83" s="4" t="n"/>
      <c r="F83" s="4" t="n"/>
      <c r="G83" s="4" t="n"/>
      <c r="H83" s="4" t="n"/>
      <c r="I83" s="4" t="n"/>
      <c r="J83" s="4" t="n"/>
      <c r="K83" s="4" t="n"/>
      <c r="L83" s="4" t="n"/>
      <c r="M83" s="4" t="n"/>
      <c r="N83" s="4" t="n"/>
      <c r="O83" s="4" t="n"/>
    </row>
    <row r="84">
      <c r="A84" s="4" t="n"/>
      <c r="B84" s="4" t="n"/>
      <c r="C84" s="4" t="n"/>
      <c r="D84" s="4" t="n"/>
      <c r="E84" s="4" t="n"/>
      <c r="F84" s="4" t="n"/>
      <c r="G84" s="4" t="n"/>
      <c r="H84" s="4" t="n"/>
      <c r="I84" s="4" t="n"/>
      <c r="J84" s="4" t="n"/>
      <c r="K84" s="4" t="n"/>
      <c r="L84" s="4" t="n"/>
      <c r="M84" s="4" t="n"/>
      <c r="N84" s="4" t="n"/>
      <c r="O84" s="4" t="n"/>
    </row>
    <row r="85">
      <c r="A85" s="4" t="n"/>
      <c r="B85" s="4" t="n"/>
      <c r="C85" s="4" t="n"/>
      <c r="D85" s="4" t="n"/>
      <c r="E85" s="4" t="n"/>
      <c r="F85" s="4" t="n"/>
      <c r="G85" s="4" t="n"/>
      <c r="H85" s="4" t="n"/>
      <c r="I85" s="4" t="n"/>
      <c r="J85" s="4" t="n"/>
      <c r="K85" s="4" t="n"/>
      <c r="L85" s="4" t="n"/>
      <c r="M85" s="4" t="n"/>
      <c r="N85" s="4" t="n"/>
      <c r="O85" s="4" t="n"/>
    </row>
    <row r="86">
      <c r="A86" s="4" t="n"/>
      <c r="B86" s="4" t="n"/>
      <c r="C86" s="4" t="n"/>
      <c r="D86" s="4" t="n"/>
      <c r="E86" s="4" t="n"/>
      <c r="F86" s="4" t="n"/>
      <c r="G86" s="4" t="n"/>
      <c r="H86" s="4" t="n"/>
      <c r="I86" s="4" t="n"/>
      <c r="J86" s="4" t="n"/>
      <c r="K86" s="4" t="n"/>
      <c r="L86" s="4" t="n"/>
      <c r="M86" s="4" t="n"/>
      <c r="N86" s="4" t="n"/>
      <c r="O86" s="4" t="n"/>
    </row>
    <row r="87">
      <c r="A87" s="4" t="n"/>
      <c r="B87" s="4" t="n"/>
      <c r="C87" s="4" t="n"/>
      <c r="D87" s="4" t="n"/>
      <c r="E87" s="4" t="n"/>
      <c r="F87" s="4" t="n"/>
      <c r="G87" s="4" t="n"/>
      <c r="H87" s="4" t="n"/>
      <c r="I87" s="4" t="n"/>
      <c r="J87" s="4" t="n"/>
      <c r="K87" s="4" t="n"/>
      <c r="L87" s="4" t="n"/>
      <c r="M87" s="4" t="n"/>
      <c r="N87" s="4" t="n"/>
      <c r="O87" s="4" t="n"/>
    </row>
    <row r="88">
      <c r="A88" s="4" t="n"/>
      <c r="B88" s="4" t="n"/>
      <c r="C88" s="4" t="n"/>
      <c r="D88" s="4" t="n"/>
      <c r="E88" s="4" t="n"/>
      <c r="F88" s="4" t="n"/>
      <c r="G88" s="4" t="n"/>
      <c r="H88" s="4" t="n"/>
      <c r="I88" s="4" t="n"/>
      <c r="J88" s="4" t="n"/>
      <c r="K88" s="4" t="n"/>
      <c r="L88" s="4" t="n"/>
      <c r="M88" s="4" t="n"/>
      <c r="N88" s="4" t="n"/>
      <c r="O88" s="4" t="n"/>
    </row>
    <row r="89">
      <c r="A89" s="4" t="n"/>
      <c r="B89" s="4" t="n"/>
      <c r="C89" s="4" t="n"/>
      <c r="D89" s="4" t="n"/>
      <c r="E89" s="4" t="n"/>
      <c r="F89" s="4" t="n"/>
      <c r="G89" s="4" t="n"/>
      <c r="H89" s="4" t="n"/>
      <c r="I89" s="4" t="n"/>
      <c r="J89" s="4" t="n"/>
      <c r="K89" s="4" t="n"/>
      <c r="L89" s="4" t="n"/>
      <c r="M89" s="4" t="n"/>
      <c r="N89" s="4" t="n"/>
      <c r="O89" s="4" t="n"/>
    </row>
    <row r="90">
      <c r="A90" s="4" t="n"/>
      <c r="B90" s="4" t="n"/>
      <c r="C90" s="4" t="n"/>
      <c r="D90" s="4" t="n"/>
      <c r="E90" s="4" t="n"/>
      <c r="F90" s="4" t="n"/>
      <c r="G90" s="4" t="n"/>
      <c r="H90" s="4" t="n"/>
      <c r="I90" s="4" t="n"/>
      <c r="J90" s="4" t="n"/>
      <c r="K90" s="4" t="n"/>
      <c r="L90" s="4" t="n"/>
      <c r="M90" s="4" t="n"/>
      <c r="N90" s="4" t="n"/>
      <c r="O90" s="4" t="n"/>
    </row>
    <row r="91">
      <c r="A91" s="4" t="n"/>
      <c r="B91" s="4" t="n"/>
      <c r="C91" s="4" t="n"/>
      <c r="D91" s="4" t="n"/>
      <c r="E91" s="4" t="n"/>
      <c r="F91" s="4" t="n"/>
      <c r="G91" s="4" t="n"/>
      <c r="H91" s="4" t="n"/>
      <c r="I91" s="4" t="n"/>
      <c r="J91" s="4" t="n"/>
      <c r="K91" s="4" t="n"/>
      <c r="L91" s="4" t="n"/>
      <c r="M91" s="4" t="n"/>
      <c r="N91" s="4" t="n"/>
      <c r="O91" s="4" t="n"/>
    </row>
    <row r="92">
      <c r="A92" s="4" t="n"/>
      <c r="B92" s="4" t="n"/>
      <c r="C92" s="4" t="n"/>
      <c r="D92" s="4" t="n"/>
      <c r="E92" s="4" t="n"/>
      <c r="F92" s="4" t="n"/>
      <c r="G92" s="4" t="n"/>
      <c r="H92" s="4" t="n"/>
      <c r="I92" s="4" t="n"/>
      <c r="J92" s="4" t="n"/>
      <c r="K92" s="4" t="n"/>
      <c r="L92" s="4" t="n"/>
      <c r="M92" s="4" t="n"/>
      <c r="N92" s="4" t="n"/>
      <c r="O92" s="4" t="n"/>
    </row>
    <row r="93">
      <c r="A93" s="4" t="n"/>
      <c r="B93" s="4" t="n"/>
      <c r="C93" s="4" t="n"/>
      <c r="D93" s="4" t="n"/>
      <c r="E93" s="4" t="n"/>
      <c r="F93" s="4" t="n"/>
      <c r="G93" s="4" t="n"/>
      <c r="H93" s="4" t="n"/>
      <c r="I93" s="4" t="n"/>
      <c r="J93" s="4" t="n"/>
      <c r="K93" s="4" t="n"/>
      <c r="L93" s="4" t="n"/>
      <c r="M93" s="4" t="n"/>
      <c r="N93" s="4" t="n"/>
      <c r="O93" s="4" t="n"/>
    </row>
    <row r="94">
      <c r="A94" s="4" t="n"/>
      <c r="B94" s="4" t="n"/>
      <c r="C94" s="4" t="n"/>
      <c r="D94" s="4" t="n"/>
      <c r="E94" s="4" t="n"/>
      <c r="F94" s="4" t="n"/>
      <c r="G94" s="4" t="n"/>
      <c r="H94" s="4" t="n"/>
      <c r="I94" s="4" t="n"/>
      <c r="J94" s="4" t="n"/>
      <c r="K94" s="4" t="n"/>
      <c r="L94" s="4" t="n"/>
      <c r="M94" s="4" t="n"/>
      <c r="N94" s="4" t="n"/>
      <c r="O94" s="4" t="n"/>
    </row>
    <row r="95">
      <c r="A95" s="4" t="n"/>
      <c r="B95" s="4" t="n"/>
      <c r="C95" s="4" t="n"/>
      <c r="D95" s="4" t="n"/>
      <c r="E95" s="4" t="n"/>
      <c r="F95" s="4" t="n"/>
      <c r="G95" s="4" t="n"/>
      <c r="H95" s="4" t="n"/>
      <c r="I95" s="4" t="n"/>
      <c r="J95" s="4" t="n"/>
      <c r="K95" s="4" t="n"/>
      <c r="L95" s="4" t="n"/>
      <c r="M95" s="4" t="n"/>
      <c r="N95" s="4" t="n"/>
      <c r="O95" s="4" t="n"/>
    </row>
    <row r="96">
      <c r="A96" s="4" t="n"/>
      <c r="B96" s="4" t="n"/>
      <c r="C96" s="4" t="n"/>
      <c r="D96" s="4" t="n"/>
      <c r="E96" s="4" t="n"/>
      <c r="F96" s="4" t="n"/>
      <c r="G96" s="4" t="n"/>
      <c r="H96" s="4" t="n"/>
      <c r="I96" s="4" t="n"/>
      <c r="J96" s="4" t="n"/>
      <c r="K96" s="4" t="n"/>
      <c r="L96" s="4" t="n"/>
      <c r="M96" s="4" t="n"/>
      <c r="N96" s="4" t="n"/>
      <c r="O96" s="4" t="n"/>
    </row>
    <row r="97">
      <c r="A97" s="4" t="n"/>
      <c r="B97" s="4" t="n"/>
      <c r="C97" s="4" t="n"/>
      <c r="D97" s="4" t="n"/>
      <c r="E97" s="4" t="n"/>
      <c r="F97" s="4" t="n"/>
      <c r="G97" s="4" t="n"/>
      <c r="H97" s="4" t="n"/>
      <c r="I97" s="4" t="n"/>
      <c r="J97" s="4" t="n"/>
      <c r="K97" s="4" t="n"/>
      <c r="L97" s="4" t="n"/>
      <c r="M97" s="4" t="n"/>
      <c r="N97" s="4" t="n"/>
      <c r="O97" s="4" t="n"/>
    </row>
    <row r="98">
      <c r="A98" s="4" t="n"/>
      <c r="B98" s="4" t="n"/>
      <c r="C98" s="4" t="n"/>
      <c r="D98" s="4" t="n"/>
      <c r="E98" s="4" t="n"/>
      <c r="F98" s="4" t="n"/>
      <c r="G98" s="4" t="n"/>
      <c r="H98" s="4" t="n"/>
      <c r="I98" s="4" t="n"/>
      <c r="J98" s="4" t="n"/>
      <c r="K98" s="4" t="n"/>
      <c r="L98" s="4" t="n"/>
      <c r="M98" s="4" t="n"/>
      <c r="N98" s="4" t="n"/>
      <c r="O98" s="4" t="n"/>
    </row>
    <row r="99">
      <c r="A99" s="4" t="n"/>
      <c r="B99" s="4" t="n"/>
      <c r="C99" s="4" t="n"/>
      <c r="D99" s="4" t="n"/>
      <c r="E99" s="4" t="n"/>
      <c r="F99" s="4" t="n"/>
      <c r="G99" s="4" t="n"/>
      <c r="H99" s="4" t="n"/>
      <c r="I99" s="4" t="n"/>
      <c r="J99" s="4" t="n"/>
      <c r="K99" s="4" t="n"/>
      <c r="L99" s="4" t="n"/>
      <c r="M99" s="4" t="n"/>
      <c r="N99" s="4" t="n"/>
      <c r="O99" s="4" t="n"/>
    </row>
    <row r="100">
      <c r="A100" s="4" t="n"/>
      <c r="B100" s="4" t="n"/>
      <c r="C100" s="4" t="n"/>
      <c r="D100" s="4" t="n"/>
      <c r="E100" s="4" t="n"/>
      <c r="F100" s="4" t="n"/>
      <c r="G100" s="4" t="n"/>
      <c r="H100" s="4" t="n"/>
      <c r="I100" s="4" t="n"/>
      <c r="J100" s="4" t="n"/>
      <c r="K100" s="4" t="n"/>
      <c r="L100" s="4" t="n"/>
      <c r="M100" s="4" t="n"/>
      <c r="N100" s="4" t="n"/>
      <c r="O100" s="4" t="n"/>
    </row>
    <row r="101">
      <c r="A101" s="4" t="n"/>
      <c r="B101" s="4" t="n"/>
      <c r="C101" s="4" t="n"/>
      <c r="D101" s="4" t="n"/>
      <c r="E101" s="4" t="n"/>
      <c r="F101" s="4" t="n"/>
      <c r="G101" s="4" t="n"/>
      <c r="H101" s="4" t="n"/>
      <c r="I101" s="4" t="n"/>
      <c r="J101" s="4" t="n"/>
      <c r="K101" s="4" t="n"/>
      <c r="L101" s="4" t="n"/>
      <c r="M101" s="4" t="n"/>
      <c r="N101" s="4" t="n"/>
      <c r="O101" s="4" t="n"/>
    </row>
    <row r="102">
      <c r="A102" s="4" t="n"/>
      <c r="B102" s="4" t="n"/>
      <c r="C102" s="4" t="n"/>
      <c r="D102" s="4" t="n"/>
      <c r="E102" s="4" t="n"/>
      <c r="F102" s="4" t="n"/>
      <c r="G102" s="4" t="n"/>
      <c r="H102" s="4" t="n"/>
      <c r="I102" s="4" t="n"/>
      <c r="J102" s="4" t="n"/>
      <c r="K102" s="4" t="n"/>
      <c r="L102" s="4" t="n"/>
      <c r="M102" s="4" t="n"/>
      <c r="N102" s="4" t="n"/>
      <c r="O102" s="4" t="n"/>
    </row>
    <row r="103">
      <c r="A103" s="4" t="n"/>
      <c r="B103" s="4" t="n"/>
      <c r="C103" s="4" t="n"/>
      <c r="D103" s="4" t="n"/>
      <c r="E103" s="4" t="n"/>
      <c r="F103" s="4" t="n"/>
      <c r="G103" s="4" t="n"/>
      <c r="H103" s="4" t="n"/>
      <c r="I103" s="4" t="n"/>
      <c r="J103" s="4" t="n"/>
      <c r="K103" s="4" t="n"/>
      <c r="L103" s="4" t="n"/>
      <c r="M103" s="4" t="n"/>
      <c r="N103" s="4" t="n"/>
      <c r="O103" s="4" t="n"/>
    </row>
    <row r="104">
      <c r="A104" s="4" t="n"/>
      <c r="B104" s="4" t="n"/>
      <c r="C104" s="4" t="n"/>
      <c r="D104" s="4" t="n"/>
      <c r="E104" s="4" t="n"/>
      <c r="F104" s="4" t="n"/>
      <c r="G104" s="4" t="n"/>
      <c r="H104" s="4" t="n"/>
      <c r="I104" s="4" t="n"/>
      <c r="J104" s="4" t="n"/>
      <c r="K104" s="4" t="n"/>
      <c r="L104" s="4" t="n"/>
      <c r="M104" s="4" t="n"/>
      <c r="N104" s="4" t="n"/>
      <c r="O104" s="4" t="n"/>
    </row>
    <row r="105">
      <c r="A105" s="4" t="n"/>
      <c r="B105" s="4" t="n"/>
      <c r="C105" s="4" t="n"/>
      <c r="D105" s="4" t="n"/>
      <c r="E105" s="4" t="n"/>
      <c r="F105" s="4" t="n"/>
      <c r="G105" s="4" t="n"/>
      <c r="H105" s="4" t="n"/>
      <c r="I105" s="4" t="n"/>
      <c r="J105" s="4" t="n"/>
      <c r="K105" s="4" t="n"/>
      <c r="L105" s="4" t="n"/>
      <c r="M105" s="4" t="n"/>
      <c r="N105" s="4" t="n"/>
      <c r="O105" s="4" t="n"/>
    </row>
    <row r="106">
      <c r="A106" s="4" t="n"/>
      <c r="B106" s="4" t="n"/>
      <c r="C106" s="4" t="n"/>
      <c r="D106" s="4" t="n"/>
      <c r="E106" s="4" t="n"/>
      <c r="F106" s="4" t="n"/>
      <c r="G106" s="4" t="n"/>
      <c r="H106" s="4" t="n"/>
      <c r="I106" s="4" t="n"/>
      <c r="J106" s="4" t="n"/>
      <c r="K106" s="4" t="n"/>
      <c r="L106" s="4" t="n"/>
      <c r="M106" s="4" t="n"/>
      <c r="N106" s="4" t="n"/>
      <c r="O106" s="4" t="n"/>
    </row>
    <row r="107">
      <c r="A107" s="4" t="n"/>
      <c r="B107" s="4" t="n"/>
      <c r="C107" s="4" t="n"/>
      <c r="D107" s="4" t="n"/>
      <c r="E107" s="4" t="n"/>
      <c r="F107" s="4" t="n"/>
      <c r="G107" s="4" t="n"/>
      <c r="H107" s="4" t="n"/>
      <c r="I107" s="4" t="n"/>
      <c r="J107" s="4" t="n"/>
      <c r="K107" s="4" t="n"/>
      <c r="L107" s="4" t="n"/>
      <c r="M107" s="4" t="n"/>
      <c r="N107" s="4" t="n"/>
      <c r="O107" s="4" t="n"/>
    </row>
    <row r="108">
      <c r="A108" s="4" t="n"/>
      <c r="B108" s="4" t="n"/>
      <c r="C108" s="4" t="n"/>
      <c r="D108" s="4" t="n"/>
      <c r="E108" s="4" t="n"/>
      <c r="F108" s="4" t="n"/>
      <c r="G108" s="4" t="n"/>
      <c r="H108" s="4" t="n"/>
      <c r="I108" s="4" t="n"/>
      <c r="J108" s="4" t="n"/>
      <c r="K108" s="4" t="n"/>
      <c r="L108" s="4" t="n"/>
      <c r="M108" s="4" t="n"/>
      <c r="N108" s="4" t="n"/>
      <c r="O108" s="4" t="n"/>
    </row>
    <row r="109">
      <c r="A109" s="4" t="n"/>
      <c r="B109" s="4" t="n"/>
      <c r="C109" s="4" t="n"/>
      <c r="D109" s="4" t="n"/>
      <c r="E109" s="4" t="n"/>
      <c r="F109" s="4" t="n"/>
      <c r="G109" s="4" t="n"/>
      <c r="H109" s="4" t="n"/>
      <c r="I109" s="4" t="n"/>
      <c r="J109" s="4" t="n"/>
      <c r="K109" s="4" t="n"/>
      <c r="L109" s="4" t="n"/>
      <c r="M109" s="4" t="n"/>
      <c r="N109" s="4" t="n"/>
      <c r="O109" s="4" t="n"/>
    </row>
    <row r="110">
      <c r="A110" s="4" t="n"/>
      <c r="B110" s="4" t="n"/>
      <c r="C110" s="4" t="n"/>
      <c r="D110" s="4" t="n"/>
      <c r="E110" s="4" t="n"/>
      <c r="F110" s="4" t="n"/>
      <c r="G110" s="4" t="n"/>
      <c r="H110" s="4" t="n"/>
      <c r="I110" s="4" t="n"/>
      <c r="J110" s="4" t="n"/>
      <c r="K110" s="4" t="n"/>
      <c r="L110" s="4" t="n"/>
      <c r="M110" s="4" t="n"/>
      <c r="N110" s="4" t="n"/>
      <c r="O110" s="4" t="n"/>
    </row>
    <row r="111">
      <c r="A111" s="4" t="n"/>
      <c r="B111" s="4" t="n"/>
      <c r="C111" s="4" t="n"/>
      <c r="D111" s="4" t="n"/>
      <c r="E111" s="4" t="n"/>
      <c r="F111" s="4" t="n"/>
      <c r="G111" s="4" t="n"/>
      <c r="H111" s="4" t="n"/>
      <c r="I111" s="4" t="n"/>
      <c r="J111" s="4" t="n"/>
      <c r="K111" s="4" t="n"/>
      <c r="L111" s="4" t="n"/>
      <c r="M111" s="4" t="n"/>
      <c r="N111" s="4" t="n"/>
      <c r="O111" s="4" t="n"/>
    </row>
    <row r="112">
      <c r="A112" s="4" t="n"/>
      <c r="B112" s="4" t="n"/>
      <c r="C112" s="4" t="n"/>
      <c r="D112" s="4" t="n"/>
      <c r="E112" s="4" t="n"/>
      <c r="F112" s="4" t="n"/>
      <c r="G112" s="4" t="n"/>
      <c r="H112" s="4" t="n"/>
      <c r="I112" s="4" t="n"/>
      <c r="J112" s="4" t="n"/>
      <c r="K112" s="4" t="n"/>
      <c r="L112" s="4" t="n"/>
      <c r="M112" s="4" t="n"/>
      <c r="N112" s="4" t="n"/>
      <c r="O112" s="4" t="n"/>
    </row>
    <row r="113">
      <c r="A113" s="4" t="n"/>
      <c r="B113" s="4" t="n"/>
      <c r="C113" s="4" t="n"/>
      <c r="D113" s="4" t="n"/>
      <c r="E113" s="4" t="n"/>
      <c r="F113" s="4" t="n"/>
      <c r="G113" s="4" t="n"/>
      <c r="H113" s="4" t="n"/>
      <c r="I113" s="4" t="n"/>
      <c r="J113" s="4" t="n"/>
      <c r="K113" s="4" t="n"/>
      <c r="L113" s="4" t="n"/>
      <c r="M113" s="4" t="n"/>
      <c r="N113" s="4" t="n"/>
      <c r="O113" s="4" t="n"/>
    </row>
    <row r="114">
      <c r="A114" s="4" t="n"/>
      <c r="B114" s="4" t="n"/>
      <c r="C114" s="4" t="n"/>
      <c r="D114" s="4" t="n"/>
      <c r="E114" s="4" t="n"/>
      <c r="F114" s="4" t="n"/>
      <c r="G114" s="4" t="n"/>
      <c r="H114" s="4" t="n"/>
      <c r="I114" s="4" t="n"/>
      <c r="J114" s="4" t="n"/>
      <c r="K114" s="4" t="n"/>
      <c r="L114" s="4" t="n"/>
      <c r="M114" s="4" t="n"/>
      <c r="N114" s="4" t="n"/>
      <c r="O114" s="4" t="n"/>
    </row>
    <row r="115">
      <c r="A115" s="4" t="n"/>
      <c r="B115" s="4" t="n"/>
      <c r="C115" s="4" t="n"/>
      <c r="D115" s="4" t="n"/>
      <c r="E115" s="4" t="n"/>
      <c r="F115" s="4" t="n"/>
      <c r="G115" s="4" t="n"/>
      <c r="H115" s="4" t="n"/>
      <c r="I115" s="4" t="n"/>
      <c r="J115" s="4" t="n"/>
      <c r="K115" s="4" t="n"/>
      <c r="L115" s="4" t="n"/>
      <c r="M115" s="4" t="n"/>
      <c r="N115" s="4" t="n"/>
      <c r="O115" s="4" t="n"/>
    </row>
    <row r="116">
      <c r="A116" s="4" t="n"/>
      <c r="B116" s="4" t="n"/>
      <c r="C116" s="4" t="n"/>
      <c r="D116" s="4" t="n"/>
      <c r="E116" s="4" t="n"/>
      <c r="F116" s="4" t="n"/>
      <c r="G116" s="4" t="n"/>
      <c r="H116" s="4" t="n"/>
      <c r="I116" s="4" t="n"/>
      <c r="J116" s="4" t="n"/>
      <c r="K116" s="4" t="n"/>
      <c r="L116" s="4" t="n"/>
      <c r="M116" s="4" t="n"/>
      <c r="N116" s="4" t="n"/>
      <c r="O116" s="4" t="n"/>
    </row>
    <row r="117">
      <c r="A117" s="4" t="n"/>
      <c r="B117" s="4" t="n"/>
      <c r="C117" s="4" t="n"/>
      <c r="D117" s="4" t="n"/>
      <c r="E117" s="4" t="n"/>
      <c r="F117" s="4" t="n"/>
      <c r="G117" s="4" t="n"/>
      <c r="H117" s="4" t="n"/>
      <c r="I117" s="4" t="n"/>
      <c r="J117" s="4" t="n"/>
      <c r="K117" s="4" t="n"/>
      <c r="L117" s="4" t="n"/>
      <c r="M117" s="4" t="n"/>
      <c r="N117" s="4" t="n"/>
      <c r="O117" s="4" t="n"/>
    </row>
    <row r="118">
      <c r="A118" s="4" t="n"/>
      <c r="B118" s="4" t="n"/>
      <c r="C118" s="4" t="n"/>
      <c r="D118" s="4" t="n"/>
      <c r="E118" s="4" t="n"/>
      <c r="F118" s="4" t="n"/>
      <c r="G118" s="4" t="n"/>
      <c r="H118" s="4" t="n"/>
      <c r="I118" s="4" t="n"/>
      <c r="J118" s="4" t="n"/>
      <c r="K118" s="4" t="n"/>
      <c r="L118" s="4" t="n"/>
      <c r="M118" s="4" t="n"/>
      <c r="N118" s="4" t="n"/>
      <c r="O118" s="4" t="n"/>
    </row>
    <row r="119">
      <c r="A119" s="4" t="n"/>
      <c r="B119" s="4" t="n"/>
      <c r="C119" s="4" t="n"/>
      <c r="D119" s="4" t="n"/>
      <c r="E119" s="4" t="n"/>
      <c r="F119" s="4" t="n"/>
      <c r="G119" s="4" t="n"/>
      <c r="H119" s="4" t="n"/>
      <c r="I119" s="4" t="n"/>
      <c r="J119" s="4" t="n"/>
      <c r="K119" s="4" t="n"/>
      <c r="L119" s="4" t="n"/>
      <c r="M119" s="4" t="n"/>
      <c r="N119" s="4" t="n"/>
      <c r="O119" s="4" t="n"/>
    </row>
    <row r="120">
      <c r="A120" s="4" t="n"/>
      <c r="B120" s="4" t="n"/>
      <c r="C120" s="4" t="n"/>
      <c r="D120" s="4" t="n"/>
      <c r="E120" s="4" t="n"/>
      <c r="F120" s="4" t="n"/>
      <c r="G120" s="4" t="n"/>
      <c r="H120" s="4" t="n"/>
      <c r="I120" s="4" t="n"/>
      <c r="J120" s="4" t="n"/>
      <c r="K120" s="4" t="n"/>
      <c r="L120" s="4" t="n"/>
      <c r="M120" s="4" t="n"/>
      <c r="N120" s="4" t="n"/>
      <c r="O120" s="4" t="n"/>
    </row>
    <row r="121">
      <c r="A121" s="4" t="n"/>
      <c r="B121" s="4" t="n"/>
      <c r="C121" s="4" t="n"/>
      <c r="D121" s="4" t="n"/>
      <c r="E121" s="4" t="n"/>
      <c r="F121" s="4" t="n"/>
      <c r="G121" s="4" t="n"/>
      <c r="H121" s="4" t="n"/>
      <c r="I121" s="4" t="n"/>
      <c r="J121" s="4" t="n"/>
      <c r="K121" s="4" t="n"/>
      <c r="L121" s="4" t="n"/>
      <c r="M121" s="4" t="n"/>
      <c r="N121" s="4" t="n"/>
      <c r="O121" s="4" t="n"/>
    </row>
    <row r="122">
      <c r="A122" s="4" t="n"/>
      <c r="B122" s="4" t="n"/>
      <c r="C122" s="4" t="n"/>
      <c r="D122" s="4" t="n"/>
      <c r="E122" s="4" t="n"/>
      <c r="F122" s="4" t="n"/>
      <c r="G122" s="4" t="n"/>
      <c r="H122" s="4" t="n"/>
      <c r="I122" s="4" t="n"/>
      <c r="J122" s="4" t="n"/>
      <c r="K122" s="4" t="n"/>
      <c r="L122" s="4" t="n"/>
      <c r="M122" s="4" t="n"/>
      <c r="N122" s="4" t="n"/>
      <c r="O122" s="4" t="n"/>
    </row>
    <row r="123">
      <c r="A123" s="4" t="n"/>
      <c r="B123" s="4" t="n"/>
      <c r="C123" s="4" t="n"/>
      <c r="D123" s="4" t="n"/>
      <c r="E123" s="4" t="n"/>
      <c r="F123" s="4" t="n"/>
      <c r="G123" s="4" t="n"/>
      <c r="H123" s="4" t="n"/>
      <c r="I123" s="4" t="n"/>
      <c r="J123" s="4" t="n"/>
      <c r="K123" s="4" t="n"/>
      <c r="L123" s="4" t="n"/>
      <c r="M123" s="4" t="n"/>
      <c r="N123" s="4" t="n"/>
      <c r="O123" s="4" t="n"/>
    </row>
    <row r="124">
      <c r="A124" s="4" t="n"/>
      <c r="B124" s="4" t="n"/>
      <c r="C124" s="4" t="n"/>
      <c r="D124" s="4" t="n"/>
      <c r="E124" s="4" t="n"/>
      <c r="F124" s="4" t="n"/>
      <c r="G124" s="4" t="n"/>
      <c r="H124" s="4" t="n"/>
      <c r="I124" s="4" t="n"/>
      <c r="J124" s="4" t="n"/>
      <c r="K124" s="4" t="n"/>
      <c r="L124" s="4" t="n"/>
      <c r="M124" s="4" t="n"/>
      <c r="N124" s="4" t="n"/>
      <c r="O124" s="4" t="n"/>
    </row>
    <row r="125">
      <c r="A125" s="4" t="n"/>
      <c r="B125" s="4" t="n"/>
      <c r="C125" s="4" t="n"/>
      <c r="D125" s="4" t="n"/>
      <c r="E125" s="4" t="n"/>
      <c r="F125" s="4" t="n"/>
      <c r="G125" s="4" t="n"/>
      <c r="H125" s="4" t="n"/>
      <c r="I125" s="4" t="n"/>
      <c r="J125" s="4" t="n"/>
      <c r="K125" s="4" t="n"/>
      <c r="L125" s="4" t="n"/>
      <c r="M125" s="4" t="n"/>
      <c r="N125" s="4" t="n"/>
      <c r="O125" s="4" t="n"/>
    </row>
    <row r="126">
      <c r="A126" s="4" t="n"/>
      <c r="B126" s="4" t="n"/>
      <c r="C126" s="4" t="n"/>
      <c r="D126" s="4" t="n"/>
      <c r="E126" s="4" t="n"/>
      <c r="F126" s="4" t="n"/>
      <c r="G126" s="4" t="n"/>
      <c r="H126" s="4" t="n"/>
      <c r="I126" s="4" t="n"/>
      <c r="J126" s="4" t="n"/>
      <c r="K126" s="4" t="n"/>
      <c r="L126" s="4" t="n"/>
      <c r="M126" s="4" t="n"/>
      <c r="N126" s="4" t="n"/>
      <c r="O126" s="4" t="n"/>
    </row>
    <row r="127">
      <c r="A127" s="4" t="n"/>
      <c r="B127" s="4" t="n"/>
      <c r="C127" s="4" t="n"/>
      <c r="D127" s="4" t="n"/>
      <c r="E127" s="4" t="n"/>
      <c r="F127" s="4" t="n"/>
      <c r="G127" s="4" t="n"/>
      <c r="H127" s="4" t="n"/>
      <c r="I127" s="4" t="n"/>
      <c r="J127" s="4" t="n"/>
      <c r="K127" s="4" t="n"/>
      <c r="L127" s="4" t="n"/>
      <c r="M127" s="4" t="n"/>
      <c r="N127" s="4" t="n"/>
      <c r="O127" s="4" t="n"/>
    </row>
    <row r="128">
      <c r="A128" s="4" t="n"/>
      <c r="B128" s="4" t="n"/>
      <c r="C128" s="4" t="n"/>
      <c r="D128" s="4" t="n"/>
      <c r="E128" s="4" t="n"/>
      <c r="F128" s="4" t="n"/>
      <c r="G128" s="4" t="n"/>
      <c r="H128" s="4" t="n"/>
      <c r="I128" s="4" t="n"/>
      <c r="J128" s="4" t="n"/>
      <c r="K128" s="4" t="n"/>
      <c r="L128" s="4" t="n"/>
      <c r="M128" s="4" t="n"/>
      <c r="N128" s="4" t="n"/>
      <c r="O128" s="4" t="n"/>
    </row>
    <row r="129">
      <c r="A129" s="4" t="n"/>
      <c r="B129" s="4" t="n"/>
      <c r="C129" s="4" t="n"/>
      <c r="D129" s="4" t="n"/>
      <c r="E129" s="4" t="n"/>
      <c r="F129" s="4" t="n"/>
      <c r="G129" s="4" t="n"/>
      <c r="H129" s="4" t="n"/>
      <c r="I129" s="4" t="n"/>
      <c r="J129" s="4" t="n"/>
      <c r="K129" s="4" t="n"/>
      <c r="L129" s="4" t="n"/>
      <c r="M129" s="4" t="n"/>
      <c r="N129" s="4" t="n"/>
      <c r="O129" s="4" t="n"/>
    </row>
    <row r="130">
      <c r="A130" s="4" t="n"/>
      <c r="B130" s="4" t="n"/>
      <c r="C130" s="4" t="n"/>
      <c r="D130" s="4" t="n"/>
      <c r="E130" s="4" t="n"/>
      <c r="F130" s="4" t="n"/>
      <c r="G130" s="4" t="n"/>
      <c r="H130" s="4" t="n"/>
      <c r="I130" s="4" t="n"/>
      <c r="J130" s="4" t="n"/>
      <c r="K130" s="4" t="n"/>
      <c r="L130" s="4" t="n"/>
      <c r="M130" s="4" t="n"/>
      <c r="N130" s="4" t="n"/>
      <c r="O130" s="4" t="n"/>
    </row>
    <row r="131">
      <c r="A131" s="4" t="n"/>
      <c r="B131" s="4" t="n"/>
      <c r="C131" s="4" t="n"/>
      <c r="D131" s="4" t="n"/>
      <c r="E131" s="4" t="n"/>
      <c r="F131" s="4" t="n"/>
      <c r="G131" s="4" t="n"/>
      <c r="H131" s="4" t="n"/>
      <c r="I131" s="4" t="n"/>
      <c r="J131" s="4" t="n"/>
      <c r="K131" s="4" t="n"/>
      <c r="L131" s="4" t="n"/>
      <c r="M131" s="4" t="n"/>
      <c r="N131" s="4" t="n"/>
      <c r="O131" s="4" t="n"/>
    </row>
    <row r="132">
      <c r="A132" s="4" t="n"/>
      <c r="B132" s="4" t="n"/>
      <c r="C132" s="4" t="n"/>
      <c r="D132" s="4" t="n"/>
      <c r="E132" s="4" t="n"/>
      <c r="F132" s="4" t="n"/>
      <c r="G132" s="4" t="n"/>
      <c r="H132" s="4" t="n"/>
      <c r="I132" s="4" t="n"/>
      <c r="J132" s="4" t="n"/>
      <c r="K132" s="4" t="n"/>
      <c r="L132" s="4" t="n"/>
      <c r="M132" s="4" t="n"/>
      <c r="N132" s="4" t="n"/>
      <c r="O132" s="4" t="n"/>
    </row>
    <row r="133">
      <c r="A133" s="4" t="n"/>
      <c r="B133" s="4" t="n"/>
      <c r="C133" s="4" t="n"/>
      <c r="D133" s="4" t="n"/>
      <c r="E133" s="4" t="n"/>
      <c r="F133" s="4" t="n"/>
      <c r="G133" s="4" t="n"/>
      <c r="H133" s="4" t="n"/>
      <c r="I133" s="4" t="n"/>
      <c r="J133" s="4" t="n"/>
      <c r="K133" s="4" t="n"/>
      <c r="L133" s="4" t="n"/>
      <c r="M133" s="4" t="n"/>
      <c r="N133" s="4" t="n"/>
      <c r="O133" s="4" t="n"/>
    </row>
    <row r="134">
      <c r="A134" s="4" t="n"/>
      <c r="B134" s="4" t="n"/>
      <c r="C134" s="4" t="n"/>
      <c r="D134" s="4" t="n"/>
      <c r="E134" s="4" t="n"/>
      <c r="F134" s="4" t="n"/>
      <c r="G134" s="4" t="n"/>
      <c r="H134" s="4" t="n"/>
      <c r="I134" s="4" t="n"/>
      <c r="J134" s="4" t="n"/>
      <c r="K134" s="4" t="n"/>
      <c r="L134" s="4" t="n"/>
      <c r="M134" s="4" t="n"/>
      <c r="N134" s="4" t="n"/>
      <c r="O134" s="4" t="n"/>
    </row>
    <row r="135">
      <c r="A135" s="4" t="n"/>
      <c r="B135" s="4" t="n"/>
      <c r="C135" s="4" t="n"/>
      <c r="D135" s="4" t="n"/>
      <c r="E135" s="4" t="n"/>
      <c r="F135" s="4" t="n"/>
      <c r="G135" s="4" t="n"/>
      <c r="H135" s="4" t="n"/>
      <c r="I135" s="4" t="n"/>
      <c r="J135" s="4" t="n"/>
      <c r="K135" s="4" t="n"/>
      <c r="L135" s="4" t="n"/>
      <c r="M135" s="4" t="n"/>
      <c r="N135" s="4" t="n"/>
      <c r="O135" s="4" t="n"/>
    </row>
    <row r="136">
      <c r="A136" s="4" t="n"/>
      <c r="B136" s="4" t="n"/>
      <c r="C136" s="4" t="n"/>
      <c r="D136" s="4" t="n"/>
      <c r="E136" s="4" t="n"/>
      <c r="F136" s="4" t="n"/>
      <c r="G136" s="4" t="n"/>
      <c r="H136" s="4" t="n"/>
      <c r="I136" s="4" t="n"/>
      <c r="J136" s="4" t="n"/>
      <c r="K136" s="4" t="n"/>
      <c r="L136" s="4" t="n"/>
      <c r="M136" s="4" t="n"/>
      <c r="N136" s="4" t="n"/>
      <c r="O136" s="4" t="n"/>
    </row>
    <row r="137">
      <c r="A137" s="4" t="n"/>
      <c r="B137" s="4" t="n"/>
      <c r="C137" s="4" t="n"/>
      <c r="D137" s="4" t="n"/>
      <c r="E137" s="4" t="n"/>
      <c r="F137" s="4" t="n"/>
      <c r="G137" s="4" t="n"/>
      <c r="H137" s="4" t="n"/>
      <c r="I137" s="4" t="n"/>
      <c r="J137" s="4" t="n"/>
      <c r="K137" s="4" t="n"/>
      <c r="L137" s="4" t="n"/>
      <c r="M137" s="4" t="n"/>
      <c r="N137" s="4" t="n"/>
      <c r="O137" s="4" t="n"/>
    </row>
    <row r="138">
      <c r="A138" s="4" t="n"/>
      <c r="B138" s="4" t="n"/>
      <c r="C138" s="4" t="n"/>
      <c r="D138" s="4" t="n"/>
      <c r="E138" s="4" t="n"/>
      <c r="F138" s="4" t="n"/>
      <c r="G138" s="4" t="n"/>
      <c r="H138" s="4" t="n"/>
      <c r="I138" s="4" t="n"/>
      <c r="J138" s="4" t="n"/>
      <c r="K138" s="4" t="n"/>
      <c r="L138" s="4" t="n"/>
      <c r="M138" s="4" t="n"/>
      <c r="N138" s="4" t="n"/>
      <c r="O138" s="4" t="n"/>
    </row>
    <row r="139">
      <c r="A139" s="4" t="n"/>
      <c r="B139" s="4" t="n"/>
      <c r="C139" s="4" t="n"/>
      <c r="D139" s="4" t="n"/>
      <c r="E139" s="4" t="n"/>
      <c r="F139" s="4" t="n"/>
      <c r="G139" s="4" t="n"/>
      <c r="H139" s="4" t="n"/>
      <c r="I139" s="4" t="n"/>
      <c r="J139" s="4" t="n"/>
      <c r="K139" s="4" t="n"/>
      <c r="L139" s="4" t="n"/>
      <c r="M139" s="4" t="n"/>
      <c r="N139" s="4" t="n"/>
      <c r="O139" s="4" t="n"/>
    </row>
    <row r="140">
      <c r="A140" s="4" t="n"/>
      <c r="B140" s="4" t="n"/>
      <c r="C140" s="4" t="n"/>
      <c r="D140" s="4" t="n"/>
      <c r="E140" s="4" t="n"/>
      <c r="F140" s="4" t="n"/>
      <c r="G140" s="4" t="n"/>
      <c r="H140" s="4" t="n"/>
      <c r="I140" s="4" t="n"/>
      <c r="J140" s="4" t="n"/>
      <c r="K140" s="4" t="n"/>
      <c r="L140" s="4" t="n"/>
      <c r="M140" s="4" t="n"/>
      <c r="N140" s="4" t="n"/>
      <c r="O140" s="4" t="n"/>
    </row>
    <row r="141">
      <c r="A141" s="4" t="n"/>
      <c r="B141" s="4" t="n"/>
      <c r="C141" s="4" t="n"/>
      <c r="D141" s="4" t="n"/>
      <c r="E141" s="4" t="n"/>
      <c r="F141" s="4" t="n"/>
      <c r="G141" s="4" t="n"/>
      <c r="H141" s="4" t="n"/>
      <c r="I141" s="4" t="n"/>
      <c r="J141" s="4" t="n"/>
      <c r="K141" s="4" t="n"/>
      <c r="L141" s="4" t="n"/>
      <c r="M141" s="4" t="n"/>
      <c r="N141" s="4" t="n"/>
      <c r="O141" s="4" t="n"/>
    </row>
    <row r="142">
      <c r="A142" s="4" t="n"/>
      <c r="B142" s="4" t="n"/>
      <c r="C142" s="4" t="n"/>
      <c r="D142" s="4" t="n"/>
      <c r="E142" s="4" t="n"/>
      <c r="F142" s="4" t="n"/>
      <c r="G142" s="4" t="n"/>
      <c r="H142" s="4" t="n"/>
      <c r="I142" s="4" t="n"/>
      <c r="J142" s="4" t="n"/>
      <c r="K142" s="4" t="n"/>
      <c r="L142" s="4" t="n"/>
      <c r="M142" s="4" t="n"/>
      <c r="N142" s="4" t="n"/>
      <c r="O142" s="4" t="n"/>
    </row>
    <row r="143">
      <c r="A143" s="4" t="n"/>
      <c r="B143" s="4" t="n"/>
      <c r="C143" s="4" t="n"/>
      <c r="D143" s="4" t="n"/>
      <c r="E143" s="4" t="n"/>
      <c r="F143" s="4" t="n"/>
      <c r="G143" s="4" t="n"/>
      <c r="H143" s="4" t="n"/>
      <c r="I143" s="4" t="n"/>
      <c r="J143" s="4" t="n"/>
      <c r="K143" s="4" t="n"/>
      <c r="L143" s="4" t="n"/>
      <c r="M143" s="4" t="n"/>
      <c r="N143" s="4" t="n"/>
      <c r="O143" s="4" t="n"/>
    </row>
    <row r="144">
      <c r="A144" s="4" t="n"/>
      <c r="B144" s="4" t="n"/>
      <c r="C144" s="4" t="n"/>
      <c r="D144" s="4" t="n"/>
      <c r="E144" s="4" t="n"/>
      <c r="F144" s="4" t="n"/>
      <c r="G144" s="4" t="n"/>
      <c r="H144" s="4" t="n"/>
      <c r="I144" s="4" t="n"/>
      <c r="J144" s="4" t="n"/>
      <c r="K144" s="4" t="n"/>
      <c r="L144" s="4" t="n"/>
      <c r="M144" s="4" t="n"/>
      <c r="N144" s="4" t="n"/>
      <c r="O144" s="4" t="n"/>
    </row>
    <row r="145">
      <c r="A145" s="4" t="n"/>
      <c r="B145" s="4" t="n"/>
      <c r="C145" s="4" t="n"/>
      <c r="D145" s="4" t="n"/>
      <c r="E145" s="4" t="n"/>
      <c r="F145" s="4" t="n"/>
      <c r="G145" s="4" t="n"/>
      <c r="H145" s="4" t="n"/>
      <c r="I145" s="4" t="n"/>
      <c r="J145" s="4" t="n"/>
      <c r="K145" s="4" t="n"/>
      <c r="L145" s="4" t="n"/>
      <c r="M145" s="4" t="n"/>
      <c r="N145" s="4" t="n"/>
      <c r="O145" s="4" t="n"/>
    </row>
    <row r="146">
      <c r="A146" s="4" t="n"/>
      <c r="B146" s="4" t="n"/>
      <c r="C146" s="4" t="n"/>
      <c r="D146" s="4" t="n"/>
      <c r="E146" s="4" t="n"/>
      <c r="F146" s="4" t="n"/>
      <c r="G146" s="4" t="n"/>
      <c r="H146" s="4" t="n"/>
      <c r="I146" s="4" t="n"/>
      <c r="J146" s="4" t="n"/>
      <c r="K146" s="4" t="n"/>
      <c r="L146" s="4" t="n"/>
      <c r="M146" s="4" t="n"/>
      <c r="N146" s="4" t="n"/>
      <c r="O146" s="4" t="n"/>
    </row>
    <row r="147">
      <c r="A147" s="4" t="n"/>
      <c r="B147" s="4" t="n"/>
      <c r="C147" s="4" t="n"/>
      <c r="D147" s="4" t="n"/>
      <c r="E147" s="4" t="n"/>
      <c r="F147" s="4" t="n"/>
      <c r="G147" s="4" t="n"/>
      <c r="H147" s="4" t="n"/>
      <c r="I147" s="4" t="n"/>
      <c r="J147" s="4" t="n"/>
      <c r="K147" s="4" t="n"/>
      <c r="L147" s="4" t="n"/>
      <c r="M147" s="4" t="n"/>
      <c r="N147" s="4" t="n"/>
      <c r="O147" s="4" t="n"/>
    </row>
    <row r="148">
      <c r="A148" s="4" t="n"/>
      <c r="B148" s="4" t="n"/>
      <c r="C148" s="4" t="n"/>
      <c r="D148" s="4" t="n"/>
      <c r="E148" s="4" t="n"/>
      <c r="F148" s="4" t="n"/>
      <c r="G148" s="4" t="n"/>
      <c r="H148" s="4" t="n"/>
      <c r="I148" s="4" t="n"/>
      <c r="J148" s="4" t="n"/>
      <c r="K148" s="4" t="n"/>
      <c r="L148" s="4" t="n"/>
      <c r="M148" s="4" t="n"/>
      <c r="N148" s="4" t="n"/>
      <c r="O148" s="4" t="n"/>
    </row>
    <row r="149">
      <c r="A149" s="4" t="n"/>
      <c r="B149" s="4" t="n"/>
      <c r="C149" s="4" t="n"/>
      <c r="D149" s="4" t="n"/>
      <c r="E149" s="4" t="n"/>
      <c r="F149" s="4" t="n"/>
      <c r="G149" s="4" t="n"/>
      <c r="H149" s="4" t="n"/>
      <c r="I149" s="4" t="n"/>
      <c r="J149" s="4" t="n"/>
      <c r="K149" s="4" t="n"/>
      <c r="L149" s="4" t="n"/>
      <c r="M149" s="4" t="n"/>
      <c r="N149" s="4" t="n"/>
      <c r="O149" s="4" t="n"/>
    </row>
    <row r="150">
      <c r="A150" s="4" t="n"/>
      <c r="B150" s="4" t="n"/>
      <c r="C150" s="4" t="n"/>
      <c r="D150" s="4" t="n"/>
      <c r="E150" s="4" t="n"/>
      <c r="F150" s="4" t="n"/>
      <c r="G150" s="4" t="n"/>
      <c r="H150" s="4" t="n"/>
      <c r="I150" s="4" t="n"/>
      <c r="J150" s="4" t="n"/>
      <c r="K150" s="4" t="n"/>
      <c r="L150" s="4" t="n"/>
      <c r="M150" s="4" t="n"/>
      <c r="N150" s="4" t="n"/>
      <c r="O150" s="4" t="n"/>
    </row>
    <row r="151">
      <c r="A151" s="4" t="n"/>
      <c r="B151" s="4" t="n"/>
      <c r="C151" s="4" t="n"/>
      <c r="D151" s="4" t="n"/>
      <c r="E151" s="4" t="n"/>
      <c r="F151" s="4" t="n"/>
      <c r="G151" s="4" t="n"/>
      <c r="H151" s="4" t="n"/>
      <c r="I151" s="4" t="n"/>
      <c r="J151" s="4" t="n"/>
      <c r="K151" s="4" t="n"/>
      <c r="L151" s="4" t="n"/>
      <c r="M151" s="4" t="n"/>
      <c r="N151" s="4" t="n"/>
      <c r="O151" s="4" t="n"/>
    </row>
    <row r="152">
      <c r="A152" s="4" t="n"/>
      <c r="B152" s="4" t="n"/>
      <c r="C152" s="4" t="n"/>
      <c r="D152" s="4" t="n"/>
      <c r="E152" s="4" t="n"/>
      <c r="F152" s="4" t="n"/>
      <c r="G152" s="4" t="n"/>
      <c r="H152" s="4" t="n"/>
      <c r="I152" s="4" t="n"/>
      <c r="J152" s="4" t="n"/>
      <c r="K152" s="4" t="n"/>
      <c r="L152" s="4" t="n"/>
      <c r="M152" s="4" t="n"/>
      <c r="N152" s="4" t="n"/>
      <c r="O152" s="4" t="n"/>
    </row>
    <row r="153">
      <c r="A153" s="4" t="n"/>
      <c r="B153" s="4" t="n"/>
      <c r="C153" s="4" t="n"/>
      <c r="D153" s="4" t="n"/>
      <c r="E153" s="4" t="n"/>
      <c r="F153" s="4" t="n"/>
      <c r="G153" s="4" t="n"/>
      <c r="H153" s="4" t="n"/>
      <c r="I153" s="4" t="n"/>
      <c r="J153" s="4" t="n"/>
      <c r="K153" s="4" t="n"/>
      <c r="L153" s="4" t="n"/>
      <c r="M153" s="4" t="n"/>
      <c r="N153" s="4" t="n"/>
      <c r="O153" s="4" t="n"/>
    </row>
    <row r="154">
      <c r="A154" s="4" t="n"/>
      <c r="B154" s="4" t="n"/>
      <c r="C154" s="4" t="n"/>
      <c r="D154" s="4" t="n"/>
      <c r="E154" s="4" t="n"/>
      <c r="F154" s="4" t="n"/>
      <c r="G154" s="4" t="n"/>
      <c r="H154" s="4" t="n"/>
      <c r="I154" s="4" t="n"/>
      <c r="J154" s="4" t="n"/>
      <c r="K154" s="4" t="n"/>
      <c r="L154" s="4" t="n"/>
      <c r="M154" s="4" t="n"/>
      <c r="N154" s="4" t="n"/>
      <c r="O154" s="4" t="n"/>
    </row>
    <row r="155">
      <c r="A155" s="4" t="n"/>
      <c r="B155" s="4" t="n"/>
      <c r="C155" s="4" t="n"/>
      <c r="D155" s="4" t="n"/>
      <c r="E155" s="4" t="n"/>
      <c r="F155" s="4" t="n"/>
      <c r="G155" s="4" t="n"/>
      <c r="H155" s="4" t="n"/>
      <c r="I155" s="4" t="n"/>
      <c r="J155" s="4" t="n"/>
      <c r="K155" s="4" t="n"/>
      <c r="L155" s="4" t="n"/>
      <c r="M155" s="4" t="n"/>
      <c r="N155" s="4" t="n"/>
      <c r="O155" s="4" t="n"/>
    </row>
    <row r="156">
      <c r="A156" s="4" t="n"/>
      <c r="B156" s="4" t="n"/>
      <c r="C156" s="4" t="n"/>
      <c r="D156" s="4" t="n"/>
      <c r="E156" s="4" t="n"/>
      <c r="F156" s="4" t="n"/>
      <c r="G156" s="4" t="n"/>
      <c r="H156" s="4" t="n"/>
      <c r="I156" s="4" t="n"/>
      <c r="J156" s="4" t="n"/>
      <c r="K156" s="4" t="n"/>
      <c r="L156" s="4" t="n"/>
      <c r="M156" s="4" t="n"/>
      <c r="N156" s="4" t="n"/>
      <c r="O156" s="4" t="n"/>
    </row>
    <row r="157">
      <c r="A157" s="4" t="n"/>
      <c r="B157" s="4" t="n"/>
      <c r="C157" s="4" t="n"/>
      <c r="D157" s="4" t="n"/>
      <c r="E157" s="4" t="n"/>
      <c r="F157" s="4" t="n"/>
      <c r="G157" s="4" t="n"/>
      <c r="H157" s="4" t="n"/>
      <c r="I157" s="4" t="n"/>
      <c r="J157" s="4" t="n"/>
      <c r="K157" s="4" t="n"/>
      <c r="L157" s="4" t="n"/>
      <c r="M157" s="4" t="n"/>
      <c r="N157" s="4" t="n"/>
      <c r="O157" s="4" t="n"/>
    </row>
    <row r="158">
      <c r="A158" s="4" t="n"/>
      <c r="B158" s="4" t="n"/>
      <c r="C158" s="4" t="n"/>
      <c r="D158" s="4" t="n"/>
      <c r="E158" s="4" t="n"/>
      <c r="F158" s="4" t="n"/>
      <c r="G158" s="4" t="n"/>
      <c r="H158" s="4" t="n"/>
      <c r="I158" s="4" t="n"/>
      <c r="J158" s="4" t="n"/>
      <c r="K158" s="4" t="n"/>
      <c r="L158" s="4" t="n"/>
      <c r="M158" s="4" t="n"/>
      <c r="N158" s="4" t="n"/>
      <c r="O158" s="4" t="n"/>
    </row>
    <row r="159">
      <c r="A159" s="4" t="n"/>
      <c r="B159" s="4" t="n"/>
      <c r="C159" s="4" t="n"/>
      <c r="D159" s="4" t="n"/>
      <c r="E159" s="4" t="n"/>
      <c r="F159" s="4" t="n"/>
      <c r="G159" s="4" t="n"/>
      <c r="H159" s="4" t="n"/>
      <c r="I159" s="4" t="n"/>
      <c r="J159" s="4" t="n"/>
      <c r="K159" s="4" t="n"/>
      <c r="L159" s="4" t="n"/>
      <c r="M159" s="4" t="n"/>
      <c r="N159" s="4" t="n"/>
      <c r="O159" s="4" t="n"/>
    </row>
    <row r="160">
      <c r="A160" s="4" t="n"/>
      <c r="B160" s="4" t="n"/>
      <c r="C160" s="4" t="n"/>
      <c r="D160" s="4" t="n"/>
      <c r="E160" s="4" t="n"/>
      <c r="F160" s="4" t="n"/>
      <c r="G160" s="4" t="n"/>
      <c r="H160" s="4" t="n"/>
      <c r="I160" s="4" t="n"/>
      <c r="J160" s="4" t="n"/>
      <c r="K160" s="4" t="n"/>
      <c r="L160" s="4" t="n"/>
      <c r="M160" s="4" t="n"/>
      <c r="N160" s="4" t="n"/>
      <c r="O160" s="4" t="n"/>
    </row>
    <row r="161">
      <c r="A161" s="4" t="n"/>
      <c r="B161" s="4" t="n"/>
      <c r="C161" s="4" t="n"/>
      <c r="D161" s="4" t="n"/>
      <c r="E161" s="4" t="n"/>
      <c r="F161" s="4" t="n"/>
      <c r="G161" s="4" t="n"/>
      <c r="H161" s="4" t="n"/>
      <c r="I161" s="4" t="n"/>
      <c r="J161" s="4" t="n"/>
      <c r="K161" s="4" t="n"/>
      <c r="L161" s="4" t="n"/>
      <c r="M161" s="4" t="n"/>
      <c r="N161" s="4" t="n"/>
      <c r="O161" s="4" t="n"/>
    </row>
    <row r="162">
      <c r="A162" s="4" t="n"/>
      <c r="B162" s="4" t="n"/>
      <c r="C162" s="4" t="n"/>
      <c r="D162" s="4" t="n"/>
      <c r="E162" s="4" t="n"/>
      <c r="F162" s="4" t="n"/>
      <c r="G162" s="4" t="n"/>
      <c r="H162" s="4" t="n"/>
      <c r="I162" s="4" t="n"/>
      <c r="J162" s="4" t="n"/>
      <c r="K162" s="4" t="n"/>
      <c r="L162" s="4" t="n"/>
      <c r="M162" s="4" t="n"/>
      <c r="N162" s="4" t="n"/>
      <c r="O162" s="4" t="n"/>
    </row>
    <row r="163">
      <c r="A163" s="4" t="n"/>
      <c r="B163" s="4" t="n"/>
      <c r="C163" s="4" t="n"/>
      <c r="D163" s="4" t="n"/>
      <c r="E163" s="4" t="n"/>
      <c r="F163" s="4" t="n"/>
      <c r="G163" s="4" t="n"/>
      <c r="H163" s="4" t="n"/>
      <c r="I163" s="4" t="n"/>
      <c r="J163" s="4" t="n"/>
      <c r="K163" s="4" t="n"/>
      <c r="L163" s="4" t="n"/>
      <c r="M163" s="4" t="n"/>
      <c r="N163" s="4" t="n"/>
      <c r="O163" s="4" t="n"/>
    </row>
    <row r="164">
      <c r="A164" s="4" t="n"/>
      <c r="B164" s="4" t="n"/>
      <c r="C164" s="4" t="n"/>
      <c r="D164" s="4" t="n"/>
      <c r="E164" s="4" t="n"/>
      <c r="F164" s="4" t="n"/>
      <c r="G164" s="4" t="n"/>
      <c r="H164" s="4" t="n"/>
      <c r="I164" s="4" t="n"/>
      <c r="J164" s="4" t="n"/>
      <c r="K164" s="4" t="n"/>
      <c r="L164" s="4" t="n"/>
      <c r="M164" s="4" t="n"/>
      <c r="N164" s="4" t="n"/>
      <c r="O164" s="4" t="n"/>
    </row>
    <row r="165">
      <c r="A165" s="4" t="n"/>
      <c r="B165" s="4" t="n"/>
      <c r="C165" s="4" t="n"/>
      <c r="D165" s="4" t="n"/>
      <c r="E165" s="4" t="n"/>
      <c r="F165" s="4" t="n"/>
      <c r="G165" s="4" t="n"/>
      <c r="H165" s="4" t="n"/>
      <c r="I165" s="4" t="n"/>
      <c r="J165" s="4" t="n"/>
      <c r="K165" s="4" t="n"/>
      <c r="L165" s="4" t="n"/>
      <c r="M165" s="4" t="n"/>
      <c r="N165" s="4" t="n"/>
      <c r="O165" s="4" t="n"/>
    </row>
    <row r="166">
      <c r="A166" s="4" t="n"/>
      <c r="B166" s="4" t="n"/>
      <c r="C166" s="4" t="n"/>
      <c r="D166" s="4" t="n"/>
      <c r="E166" s="4" t="n"/>
      <c r="F166" s="4" t="n"/>
      <c r="G166" s="4" t="n"/>
      <c r="H166" s="4" t="n"/>
      <c r="I166" s="4" t="n"/>
      <c r="J166" s="4" t="n"/>
      <c r="K166" s="4" t="n"/>
      <c r="L166" s="4" t="n"/>
      <c r="M166" s="4" t="n"/>
      <c r="N166" s="4" t="n"/>
      <c r="O166" s="4" t="n"/>
    </row>
    <row r="167">
      <c r="A167" s="4" t="n"/>
      <c r="B167" s="4" t="n"/>
      <c r="C167" s="4" t="n"/>
      <c r="D167" s="4" t="n"/>
      <c r="E167" s="4" t="n"/>
      <c r="F167" s="4" t="n"/>
      <c r="G167" s="4" t="n"/>
      <c r="H167" s="4" t="n"/>
      <c r="I167" s="4" t="n"/>
      <c r="J167" s="4" t="n"/>
      <c r="K167" s="4" t="n"/>
      <c r="L167" s="4" t="n"/>
      <c r="M167" s="4" t="n"/>
      <c r="N167" s="4" t="n"/>
      <c r="O167" s="4" t="n"/>
    </row>
    <row r="168">
      <c r="A168" s="4" t="n"/>
      <c r="B168" s="4" t="n"/>
      <c r="C168" s="4" t="n"/>
      <c r="D168" s="4" t="n"/>
      <c r="E168" s="4" t="n"/>
      <c r="F168" s="4" t="n"/>
      <c r="G168" s="4" t="n"/>
      <c r="H168" s="4" t="n"/>
      <c r="I168" s="4" t="n"/>
      <c r="J168" s="4" t="n"/>
      <c r="K168" s="4" t="n"/>
      <c r="L168" s="4" t="n"/>
      <c r="M168" s="4" t="n"/>
      <c r="N168" s="4" t="n"/>
      <c r="O168" s="4" t="n"/>
    </row>
    <row r="169">
      <c r="A169" s="4" t="n"/>
      <c r="B169" s="4" t="n"/>
      <c r="C169" s="4" t="n"/>
      <c r="D169" s="4" t="n"/>
      <c r="E169" s="4" t="n"/>
      <c r="F169" s="4" t="n"/>
      <c r="G169" s="4" t="n"/>
      <c r="H169" s="4" t="n"/>
      <c r="I169" s="4" t="n"/>
      <c r="J169" s="4" t="n"/>
      <c r="K169" s="4" t="n"/>
      <c r="L169" s="4" t="n"/>
      <c r="M169" s="4" t="n"/>
      <c r="N169" s="4" t="n"/>
      <c r="O169" s="4" t="n"/>
    </row>
    <row r="170">
      <c r="A170" s="4" t="n"/>
      <c r="B170" s="4" t="n"/>
      <c r="C170" s="4" t="n"/>
      <c r="D170" s="4" t="n"/>
      <c r="E170" s="4" t="n"/>
      <c r="F170" s="4" t="n"/>
      <c r="G170" s="4" t="n"/>
      <c r="H170" s="4" t="n"/>
      <c r="I170" s="4" t="n"/>
      <c r="J170" s="4" t="n"/>
      <c r="K170" s="4" t="n"/>
      <c r="L170" s="4" t="n"/>
      <c r="M170" s="4" t="n"/>
      <c r="N170" s="4" t="n"/>
      <c r="O170" s="4" t="n"/>
    </row>
    <row r="171">
      <c r="A171" s="4" t="n"/>
      <c r="B171" s="4" t="n"/>
      <c r="C171" s="4" t="n"/>
      <c r="D171" s="4" t="n"/>
      <c r="E171" s="4" t="n"/>
      <c r="F171" s="4" t="n"/>
      <c r="G171" s="4" t="n"/>
      <c r="H171" s="4" t="n"/>
      <c r="I171" s="4" t="n"/>
      <c r="J171" s="4" t="n"/>
      <c r="K171" s="4" t="n"/>
      <c r="L171" s="4" t="n"/>
      <c r="M171" s="4" t="n"/>
      <c r="N171" s="4" t="n"/>
      <c r="O171" s="4" t="n"/>
    </row>
    <row r="172">
      <c r="A172" s="4" t="n"/>
      <c r="B172" s="4" t="n"/>
      <c r="C172" s="4" t="n"/>
      <c r="D172" s="4" t="n"/>
      <c r="E172" s="4" t="n"/>
      <c r="F172" s="4" t="n"/>
      <c r="G172" s="4" t="n"/>
      <c r="H172" s="4" t="n"/>
      <c r="I172" s="4" t="n"/>
      <c r="J172" s="4" t="n"/>
      <c r="K172" s="4" t="n"/>
      <c r="L172" s="4" t="n"/>
      <c r="M172" s="4" t="n"/>
      <c r="N172" s="4" t="n"/>
      <c r="O172" s="4" t="n"/>
    </row>
    <row r="173">
      <c r="A173" s="4" t="n"/>
      <c r="B173" s="4" t="n"/>
      <c r="C173" s="4" t="n"/>
      <c r="D173" s="4" t="n"/>
      <c r="E173" s="4" t="n"/>
      <c r="F173" s="4" t="n"/>
      <c r="G173" s="4" t="n"/>
      <c r="H173" s="4" t="n"/>
      <c r="I173" s="4" t="n"/>
      <c r="J173" s="4" t="n"/>
      <c r="K173" s="4" t="n"/>
      <c r="L173" s="4" t="n"/>
      <c r="M173" s="4" t="n"/>
      <c r="N173" s="4" t="n"/>
      <c r="O173" s="4" t="n"/>
    </row>
    <row r="174">
      <c r="A174" s="4" t="n"/>
      <c r="B174" s="4" t="n"/>
      <c r="C174" s="4" t="n"/>
      <c r="D174" s="4" t="n"/>
      <c r="E174" s="4" t="n"/>
      <c r="F174" s="4" t="n"/>
      <c r="G174" s="4" t="n"/>
      <c r="H174" s="4" t="n"/>
      <c r="I174" s="4" t="n"/>
      <c r="J174" s="4" t="n"/>
      <c r="K174" s="4" t="n"/>
      <c r="L174" s="4" t="n"/>
      <c r="M174" s="4" t="n"/>
      <c r="N174" s="4" t="n"/>
      <c r="O174" s="4" t="n"/>
    </row>
    <row r="175">
      <c r="A175" s="4" t="n"/>
      <c r="B175" s="4" t="n"/>
      <c r="C175" s="4" t="n"/>
      <c r="D175" s="4" t="n"/>
      <c r="E175" s="4" t="n"/>
      <c r="F175" s="4" t="n"/>
      <c r="G175" s="4" t="n"/>
      <c r="H175" s="4" t="n"/>
      <c r="I175" s="4" t="n"/>
      <c r="J175" s="4" t="n"/>
      <c r="K175" s="4" t="n"/>
      <c r="L175" s="4" t="n"/>
      <c r="M175" s="4" t="n"/>
      <c r="N175" s="4" t="n"/>
      <c r="O175" s="4" t="n"/>
    </row>
    <row r="176">
      <c r="A176" s="4" t="n"/>
      <c r="B176" s="4" t="n"/>
      <c r="C176" s="4" t="n"/>
      <c r="D176" s="4" t="n"/>
      <c r="E176" s="4" t="n"/>
      <c r="F176" s="4" t="n"/>
      <c r="G176" s="4" t="n"/>
      <c r="H176" s="4" t="n"/>
      <c r="I176" s="4" t="n"/>
      <c r="J176" s="4" t="n"/>
      <c r="K176" s="4" t="n"/>
      <c r="L176" s="4" t="n"/>
      <c r="M176" s="4" t="n"/>
      <c r="N176" s="4" t="n"/>
      <c r="O176" s="4" t="n"/>
    </row>
    <row r="177">
      <c r="A177" s="4" t="n"/>
      <c r="B177" s="4" t="n"/>
      <c r="C177" s="4" t="n"/>
      <c r="D177" s="4" t="n"/>
      <c r="E177" s="4" t="n"/>
      <c r="F177" s="4" t="n"/>
      <c r="G177" s="4" t="n"/>
      <c r="H177" s="4" t="n"/>
      <c r="I177" s="4" t="n"/>
      <c r="J177" s="4" t="n"/>
      <c r="K177" s="4" t="n"/>
      <c r="L177" s="4" t="n"/>
      <c r="M177" s="4" t="n"/>
      <c r="N177" s="4" t="n"/>
      <c r="O177" s="4" t="n"/>
    </row>
    <row r="178">
      <c r="A178" s="4" t="n"/>
      <c r="B178" s="4" t="n"/>
      <c r="C178" s="4" t="n"/>
      <c r="D178" s="4" t="n"/>
      <c r="E178" s="4" t="n"/>
      <c r="F178" s="4" t="n"/>
      <c r="G178" s="4" t="n"/>
      <c r="H178" s="4" t="n"/>
      <c r="I178" s="4" t="n"/>
      <c r="J178" s="4" t="n"/>
      <c r="K178" s="4" t="n"/>
      <c r="L178" s="4" t="n"/>
      <c r="M178" s="4" t="n"/>
      <c r="N178" s="4" t="n"/>
      <c r="O178" s="4" t="n"/>
    </row>
    <row r="179">
      <c r="A179" s="4" t="n"/>
      <c r="B179" s="4" t="n"/>
      <c r="C179" s="4" t="n"/>
      <c r="D179" s="4" t="n"/>
      <c r="E179" s="4" t="n"/>
      <c r="F179" s="4" t="n"/>
      <c r="G179" s="4" t="n"/>
      <c r="H179" s="4" t="n"/>
      <c r="I179" s="4" t="n"/>
      <c r="J179" s="4" t="n"/>
      <c r="K179" s="4" t="n"/>
      <c r="L179" s="4" t="n"/>
      <c r="M179" s="4" t="n"/>
      <c r="N179" s="4" t="n"/>
      <c r="O179" s="4" t="n"/>
    </row>
    <row r="180">
      <c r="A180" s="4" t="n"/>
      <c r="B180" s="4" t="n"/>
      <c r="C180" s="4" t="n"/>
      <c r="D180" s="4" t="n"/>
      <c r="E180" s="4" t="n"/>
      <c r="F180" s="4" t="n"/>
      <c r="G180" s="4" t="n"/>
      <c r="H180" s="4" t="n"/>
      <c r="I180" s="4" t="n"/>
      <c r="J180" s="4" t="n"/>
      <c r="K180" s="4" t="n"/>
      <c r="L180" s="4" t="n"/>
      <c r="M180" s="4" t="n"/>
      <c r="N180" s="4" t="n"/>
      <c r="O180" s="4" t="n"/>
    </row>
    <row r="181">
      <c r="A181" s="4" t="n"/>
      <c r="B181" s="4" t="n"/>
      <c r="C181" s="4" t="n"/>
      <c r="D181" s="4" t="n"/>
      <c r="E181" s="4" t="n"/>
      <c r="F181" s="4" t="n"/>
      <c r="G181" s="4" t="n"/>
      <c r="H181" s="4" t="n"/>
      <c r="I181" s="4" t="n"/>
      <c r="J181" s="4" t="n"/>
      <c r="K181" s="4" t="n"/>
      <c r="L181" s="4" t="n"/>
      <c r="M181" s="4" t="n"/>
      <c r="N181" s="4" t="n"/>
      <c r="O181" s="4" t="n"/>
    </row>
    <row r="182">
      <c r="A182" s="4" t="n"/>
      <c r="B182" s="4" t="n"/>
      <c r="C182" s="4" t="n"/>
      <c r="D182" s="4" t="n"/>
      <c r="E182" s="4" t="n"/>
      <c r="F182" s="4" t="n"/>
      <c r="G182" s="4" t="n"/>
      <c r="H182" s="4" t="n"/>
      <c r="I182" s="4" t="n"/>
      <c r="J182" s="4" t="n"/>
      <c r="K182" s="4" t="n"/>
      <c r="L182" s="4" t="n"/>
      <c r="M182" s="4" t="n"/>
      <c r="N182" s="4" t="n"/>
      <c r="O182" s="4" t="n"/>
    </row>
    <row r="183">
      <c r="A183" s="4" t="n"/>
      <c r="B183" s="4" t="n"/>
      <c r="C183" s="4" t="n"/>
      <c r="D183" s="4" t="n"/>
      <c r="E183" s="4" t="n"/>
      <c r="F183" s="4" t="n"/>
      <c r="G183" s="4" t="n"/>
      <c r="H183" s="4" t="n"/>
      <c r="I183" s="4" t="n"/>
      <c r="J183" s="4" t="n"/>
      <c r="K183" s="4" t="n"/>
      <c r="L183" s="4" t="n"/>
      <c r="M183" s="4" t="n"/>
      <c r="N183" s="4" t="n"/>
      <c r="O183" s="4" t="n"/>
    </row>
    <row r="184">
      <c r="A184" s="4" t="n"/>
      <c r="B184" s="4" t="n"/>
      <c r="C184" s="4" t="n"/>
      <c r="D184" s="4" t="n"/>
      <c r="E184" s="4" t="n"/>
      <c r="F184" s="4" t="n"/>
      <c r="G184" s="4" t="n"/>
      <c r="H184" s="4" t="n"/>
      <c r="I184" s="4" t="n"/>
      <c r="J184" s="4" t="n"/>
      <c r="K184" s="4" t="n"/>
      <c r="L184" s="4" t="n"/>
      <c r="M184" s="4" t="n"/>
      <c r="N184" s="4" t="n"/>
      <c r="O184" s="4" t="n"/>
    </row>
    <row r="185">
      <c r="A185" s="4" t="n"/>
      <c r="B185" s="4" t="n"/>
      <c r="C185" s="4" t="n"/>
      <c r="D185" s="4" t="n"/>
      <c r="E185" s="4" t="n"/>
      <c r="F185" s="4" t="n"/>
      <c r="G185" s="4" t="n"/>
      <c r="H185" s="4" t="n"/>
      <c r="I185" s="4" t="n"/>
      <c r="J185" s="4" t="n"/>
      <c r="K185" s="4" t="n"/>
      <c r="L185" s="4" t="n"/>
      <c r="M185" s="4" t="n"/>
      <c r="N185" s="4" t="n"/>
      <c r="O185" s="4" t="n"/>
    </row>
    <row r="186">
      <c r="A186" s="4" t="n"/>
      <c r="B186" s="4" t="n"/>
      <c r="C186" s="4" t="n"/>
      <c r="D186" s="4" t="n"/>
      <c r="E186" s="4" t="n"/>
      <c r="F186" s="4" t="n"/>
      <c r="G186" s="4" t="n"/>
      <c r="H186" s="4" t="n"/>
      <c r="I186" s="4" t="n"/>
      <c r="J186" s="4" t="n"/>
      <c r="K186" s="4" t="n"/>
      <c r="L186" s="4" t="n"/>
      <c r="M186" s="4" t="n"/>
      <c r="N186" s="4" t="n"/>
      <c r="O186" s="4" t="n"/>
    </row>
    <row r="187">
      <c r="A187" s="4" t="n"/>
      <c r="B187" s="4" t="n"/>
      <c r="C187" s="4" t="n"/>
      <c r="D187" s="4" t="n"/>
      <c r="E187" s="4" t="n"/>
      <c r="F187" s="4" t="n"/>
      <c r="G187" s="4" t="n"/>
      <c r="H187" s="4" t="n"/>
      <c r="I187" s="4" t="n"/>
      <c r="J187" s="4" t="n"/>
      <c r="K187" s="4" t="n"/>
      <c r="L187" s="4" t="n"/>
      <c r="M187" s="4" t="n"/>
      <c r="N187" s="4" t="n"/>
      <c r="O187" s="4" t="n"/>
    </row>
    <row r="188">
      <c r="A188" s="4" t="n"/>
      <c r="B188" s="4" t="n"/>
      <c r="C188" s="4" t="n"/>
      <c r="D188" s="4" t="n"/>
      <c r="E188" s="4" t="n"/>
      <c r="F188" s="4" t="n"/>
      <c r="G188" s="4" t="n"/>
      <c r="H188" s="4" t="n"/>
      <c r="I188" s="4" t="n"/>
      <c r="J188" s="4" t="n"/>
      <c r="K188" s="4" t="n"/>
      <c r="L188" s="4" t="n"/>
      <c r="M188" s="4" t="n"/>
      <c r="N188" s="4" t="n"/>
      <c r="O188" s="4" t="n"/>
    </row>
    <row r="189">
      <c r="A189" s="4" t="n"/>
      <c r="B189" s="4" t="n"/>
      <c r="C189" s="4" t="n"/>
      <c r="D189" s="4" t="n"/>
      <c r="E189" s="4" t="n"/>
      <c r="F189" s="4" t="n"/>
      <c r="G189" s="4" t="n"/>
      <c r="H189" s="4" t="n"/>
      <c r="I189" s="4" t="n"/>
      <c r="J189" s="4" t="n"/>
      <c r="K189" s="4" t="n"/>
      <c r="L189" s="4" t="n"/>
      <c r="M189" s="4" t="n"/>
      <c r="N189" s="4" t="n"/>
      <c r="O189" s="4" t="n"/>
    </row>
    <row r="190">
      <c r="A190" s="4" t="n"/>
      <c r="B190" s="4" t="n"/>
      <c r="C190" s="4" t="n"/>
      <c r="D190" s="4" t="n"/>
      <c r="E190" s="4" t="n"/>
      <c r="F190" s="4" t="n"/>
      <c r="G190" s="4" t="n"/>
      <c r="H190" s="4" t="n"/>
      <c r="I190" s="4" t="n"/>
      <c r="J190" s="4" t="n"/>
      <c r="K190" s="4" t="n"/>
      <c r="L190" s="4" t="n"/>
      <c r="M190" s="4" t="n"/>
      <c r="N190" s="4" t="n"/>
      <c r="O190" s="4" t="n"/>
    </row>
    <row r="191">
      <c r="A191" s="4" t="n"/>
      <c r="B191" s="4" t="n"/>
      <c r="C191" s="4" t="n"/>
      <c r="D191" s="4" t="n"/>
      <c r="E191" s="4" t="n"/>
      <c r="F191" s="4" t="n"/>
      <c r="G191" s="4" t="n"/>
      <c r="H191" s="4" t="n"/>
      <c r="I191" s="4" t="n"/>
      <c r="J191" s="4" t="n"/>
      <c r="K191" s="4" t="n"/>
      <c r="L191" s="4" t="n"/>
      <c r="M191" s="4" t="n"/>
      <c r="N191" s="4" t="n"/>
      <c r="O191" s="4" t="n"/>
    </row>
    <row r="192">
      <c r="A192" s="4" t="n"/>
      <c r="B192" s="4" t="n"/>
      <c r="C192" s="4" t="n"/>
      <c r="D192" s="4" t="n"/>
      <c r="E192" s="4" t="n"/>
      <c r="F192" s="4" t="n"/>
      <c r="G192" s="4" t="n"/>
      <c r="H192" s="4" t="n"/>
      <c r="I192" s="4" t="n"/>
      <c r="J192" s="4" t="n"/>
      <c r="K192" s="4" t="n"/>
      <c r="L192" s="4" t="n"/>
      <c r="M192" s="4" t="n"/>
      <c r="N192" s="4" t="n"/>
      <c r="O192" s="4" t="n"/>
    </row>
    <row r="193">
      <c r="A193" s="4" t="n"/>
      <c r="B193" s="4" t="n"/>
      <c r="C193" s="4" t="n"/>
      <c r="D193" s="4" t="n"/>
      <c r="E193" s="4" t="n"/>
      <c r="F193" s="4" t="n"/>
      <c r="G193" s="4" t="n"/>
      <c r="H193" s="4" t="n"/>
      <c r="I193" s="4" t="n"/>
      <c r="J193" s="4" t="n"/>
      <c r="K193" s="4" t="n"/>
      <c r="L193" s="4" t="n"/>
      <c r="M193" s="4" t="n"/>
      <c r="N193" s="4" t="n"/>
      <c r="O193" s="4" t="n"/>
    </row>
    <row r="194">
      <c r="A194" s="4" t="n"/>
      <c r="B194" s="4" t="n"/>
      <c r="C194" s="4" t="n"/>
      <c r="D194" s="4" t="n"/>
      <c r="E194" s="4" t="n"/>
      <c r="F194" s="4" t="n"/>
      <c r="G194" s="4" t="n"/>
      <c r="H194" s="4" t="n"/>
      <c r="I194" s="4" t="n"/>
      <c r="J194" s="4" t="n"/>
      <c r="K194" s="4" t="n"/>
      <c r="L194" s="4" t="n"/>
      <c r="M194" s="4" t="n"/>
      <c r="N194" s="4" t="n"/>
      <c r="O194" s="4" t="n"/>
    </row>
    <row r="195">
      <c r="A195" s="4" t="n"/>
      <c r="B195" s="4" t="n"/>
      <c r="C195" s="4" t="n"/>
      <c r="D195" s="4" t="n"/>
      <c r="E195" s="4" t="n"/>
      <c r="F195" s="4" t="n"/>
      <c r="G195" s="4" t="n"/>
      <c r="H195" s="4" t="n"/>
      <c r="I195" s="4" t="n"/>
      <c r="J195" s="4" t="n"/>
      <c r="K195" s="4" t="n"/>
      <c r="L195" s="4" t="n"/>
      <c r="M195" s="4" t="n"/>
      <c r="N195" s="4" t="n"/>
      <c r="O195" s="4" t="n"/>
    </row>
    <row r="196">
      <c r="A196" s="4" t="n"/>
      <c r="B196" s="4" t="n"/>
      <c r="C196" s="4" t="n"/>
      <c r="D196" s="4" t="n"/>
      <c r="E196" s="4" t="n"/>
      <c r="F196" s="4" t="n"/>
      <c r="G196" s="4" t="n"/>
      <c r="H196" s="4" t="n"/>
      <c r="I196" s="4" t="n"/>
      <c r="J196" s="4" t="n"/>
      <c r="K196" s="4" t="n"/>
      <c r="L196" s="4" t="n"/>
      <c r="M196" s="4" t="n"/>
      <c r="N196" s="4" t="n"/>
      <c r="O196" s="4" t="n"/>
    </row>
    <row r="197">
      <c r="A197" s="4" t="n"/>
      <c r="B197" s="4" t="n"/>
      <c r="C197" s="4" t="n"/>
      <c r="D197" s="4" t="n"/>
      <c r="E197" s="4" t="n"/>
      <c r="F197" s="4" t="n"/>
      <c r="G197" s="4" t="n"/>
      <c r="H197" s="4" t="n"/>
      <c r="I197" s="4" t="n"/>
      <c r="J197" s="4" t="n"/>
      <c r="K197" s="4" t="n"/>
      <c r="L197" s="4" t="n"/>
      <c r="M197" s="4" t="n"/>
      <c r="N197" s="4" t="n"/>
      <c r="O197" s="4" t="n"/>
    </row>
    <row r="198">
      <c r="A198" s="4" t="n"/>
      <c r="B198" s="4" t="n"/>
      <c r="C198" s="4" t="n"/>
      <c r="D198" s="4" t="n"/>
      <c r="E198" s="4" t="n"/>
      <c r="F198" s="4" t="n"/>
      <c r="G198" s="4" t="n"/>
      <c r="H198" s="4" t="n"/>
      <c r="I198" s="4" t="n"/>
      <c r="J198" s="4" t="n"/>
      <c r="K198" s="4" t="n"/>
      <c r="L198" s="4" t="n"/>
      <c r="M198" s="4" t="n"/>
      <c r="N198" s="4" t="n"/>
      <c r="O198" s="4" t="n"/>
    </row>
    <row r="199">
      <c r="A199" s="4" t="n"/>
      <c r="B199" s="4" t="n"/>
      <c r="C199" s="4" t="n"/>
      <c r="D199" s="4" t="n"/>
      <c r="E199" s="4" t="n"/>
      <c r="F199" s="4" t="n"/>
      <c r="G199" s="4" t="n"/>
      <c r="H199" s="4" t="n"/>
      <c r="I199" s="4" t="n"/>
      <c r="J199" s="4" t="n"/>
      <c r="K199" s="4" t="n"/>
      <c r="L199" s="4" t="n"/>
      <c r="M199" s="4" t="n"/>
      <c r="N199" s="4" t="n"/>
      <c r="O199" s="4" t="n"/>
    </row>
    <row r="200">
      <c r="A200" s="4" t="n"/>
      <c r="B200" s="4" t="n"/>
      <c r="C200" s="4" t="n"/>
      <c r="D200" s="4" t="n"/>
      <c r="E200" s="4" t="n"/>
      <c r="F200" s="4" t="n"/>
      <c r="G200" s="4" t="n"/>
      <c r="H200" s="4" t="n"/>
      <c r="I200" s="4" t="n"/>
      <c r="J200" s="4" t="n"/>
      <c r="K200" s="4" t="n"/>
      <c r="L200" s="4" t="n"/>
      <c r="M200" s="4" t="n"/>
      <c r="N200" s="4" t="n"/>
      <c r="O200" s="4" t="n"/>
    </row>
    <row r="201">
      <c r="A201" s="4" t="n"/>
      <c r="B201" s="4" t="n"/>
      <c r="C201" s="4" t="n"/>
      <c r="D201" s="4" t="n"/>
      <c r="E201" s="4" t="n"/>
      <c r="F201" s="4" t="n"/>
      <c r="G201" s="4" t="n"/>
      <c r="H201" s="4" t="n"/>
      <c r="I201" s="4" t="n"/>
      <c r="J201" s="4" t="n"/>
      <c r="K201" s="4" t="n"/>
      <c r="L201" s="4" t="n"/>
      <c r="M201" s="4" t="n"/>
      <c r="N201" s="4" t="n"/>
      <c r="O201" s="4" t="n"/>
    </row>
    <row r="202">
      <c r="A202" s="4" t="n"/>
      <c r="B202" s="4" t="n"/>
      <c r="C202" s="4" t="n"/>
      <c r="D202" s="4" t="n"/>
      <c r="E202" s="4" t="n"/>
      <c r="F202" s="4" t="n"/>
      <c r="G202" s="4" t="n"/>
      <c r="H202" s="4" t="n"/>
      <c r="I202" s="4" t="n"/>
      <c r="J202" s="4" t="n"/>
      <c r="K202" s="4" t="n"/>
      <c r="L202" s="4" t="n"/>
      <c r="M202" s="4" t="n"/>
      <c r="N202" s="4" t="n"/>
      <c r="O202" s="4" t="n"/>
    </row>
    <row r="203">
      <c r="A203" s="4" t="n"/>
      <c r="B203" s="4" t="n"/>
      <c r="C203" s="4" t="n"/>
      <c r="D203" s="4" t="n"/>
      <c r="E203" s="4" t="n"/>
      <c r="F203" s="4" t="n"/>
      <c r="G203" s="4" t="n"/>
      <c r="H203" s="4" t="n"/>
      <c r="I203" s="4" t="n"/>
      <c r="J203" s="4" t="n"/>
      <c r="K203" s="4" t="n"/>
      <c r="L203" s="4" t="n"/>
      <c r="M203" s="4" t="n"/>
      <c r="N203" s="4" t="n"/>
      <c r="O203" s="4" t="n"/>
    </row>
    <row r="204">
      <c r="A204" s="4" t="n"/>
      <c r="B204" s="4" t="n"/>
      <c r="C204" s="4" t="n"/>
      <c r="D204" s="4" t="n"/>
      <c r="E204" s="4" t="n"/>
      <c r="F204" s="4" t="n"/>
      <c r="G204" s="4" t="n"/>
      <c r="H204" s="4" t="n"/>
      <c r="I204" s="4" t="n"/>
      <c r="J204" s="4" t="n"/>
      <c r="K204" s="4" t="n"/>
      <c r="L204" s="4" t="n"/>
      <c r="M204" s="4" t="n"/>
      <c r="N204" s="4" t="n"/>
      <c r="O204" s="4" t="n"/>
    </row>
    <row r="205">
      <c r="A205" s="4" t="n"/>
      <c r="B205" s="4" t="n"/>
      <c r="C205" s="4" t="n"/>
      <c r="D205" s="4" t="n"/>
      <c r="E205" s="4" t="n"/>
      <c r="F205" s="4" t="n"/>
      <c r="G205" s="4" t="n"/>
      <c r="H205" s="4" t="n"/>
      <c r="I205" s="4" t="n"/>
      <c r="J205" s="4" t="n"/>
      <c r="K205" s="4" t="n"/>
      <c r="L205" s="4" t="n"/>
      <c r="M205" s="4" t="n"/>
      <c r="N205" s="4" t="n"/>
      <c r="O205" s="4" t="n"/>
    </row>
    <row r="206">
      <c r="A206" s="4" t="n"/>
      <c r="B206" s="4" t="n"/>
      <c r="C206" s="4" t="n"/>
      <c r="D206" s="4" t="n"/>
      <c r="E206" s="4" t="n"/>
      <c r="F206" s="4" t="n"/>
      <c r="G206" s="4" t="n"/>
      <c r="H206" s="4" t="n"/>
      <c r="I206" s="4" t="n"/>
      <c r="J206" s="4" t="n"/>
      <c r="K206" s="4" t="n"/>
      <c r="L206" s="4" t="n"/>
      <c r="M206" s="4" t="n"/>
      <c r="N206" s="4" t="n"/>
      <c r="O206" s="4" t="n"/>
    </row>
    <row r="207">
      <c r="A207" s="4" t="n"/>
      <c r="B207" s="4" t="n"/>
      <c r="C207" s="4" t="n"/>
      <c r="D207" s="4" t="n"/>
      <c r="E207" s="4" t="n"/>
      <c r="F207" s="4" t="n"/>
      <c r="G207" s="4" t="n"/>
      <c r="H207" s="4" t="n"/>
      <c r="I207" s="4" t="n"/>
      <c r="J207" s="4" t="n"/>
      <c r="K207" s="4" t="n"/>
      <c r="L207" s="4" t="n"/>
      <c r="M207" s="4" t="n"/>
      <c r="N207" s="4" t="n"/>
      <c r="O207" s="4" t="n"/>
    </row>
    <row r="208">
      <c r="A208" s="4" t="n"/>
      <c r="B208" s="4" t="n"/>
      <c r="C208" s="4" t="n"/>
      <c r="D208" s="4" t="n"/>
      <c r="E208" s="4" t="n"/>
      <c r="F208" s="4" t="n"/>
      <c r="G208" s="4" t="n"/>
      <c r="H208" s="4" t="n"/>
      <c r="I208" s="4" t="n"/>
      <c r="J208" s="4" t="n"/>
      <c r="K208" s="4" t="n"/>
      <c r="L208" s="4" t="n"/>
      <c r="M208" s="4" t="n"/>
      <c r="N208" s="4" t="n"/>
      <c r="O208" s="4" t="n"/>
    </row>
    <row r="209">
      <c r="A209" s="4" t="n"/>
      <c r="B209" s="4" t="n"/>
      <c r="C209" s="4" t="n"/>
      <c r="D209" s="4" t="n"/>
      <c r="E209" s="4" t="n"/>
      <c r="F209" s="4" t="n"/>
      <c r="G209" s="4" t="n"/>
      <c r="H209" s="4" t="n"/>
      <c r="I209" s="4" t="n"/>
      <c r="J209" s="4" t="n"/>
      <c r="K209" s="4" t="n"/>
      <c r="L209" s="4" t="n"/>
      <c r="M209" s="4" t="n"/>
      <c r="N209" s="4" t="n"/>
      <c r="O209" s="4" t="n"/>
    </row>
    <row r="210">
      <c r="A210" s="4" t="n"/>
      <c r="B210" s="4" t="n"/>
      <c r="C210" s="4" t="n"/>
      <c r="D210" s="4" t="n"/>
      <c r="E210" s="4" t="n"/>
      <c r="F210" s="4" t="n"/>
      <c r="G210" s="4" t="n"/>
      <c r="H210" s="4" t="n"/>
      <c r="I210" s="4" t="n"/>
      <c r="J210" s="4" t="n"/>
      <c r="K210" s="4" t="n"/>
      <c r="L210" s="4" t="n"/>
      <c r="M210" s="4" t="n"/>
      <c r="N210" s="4" t="n"/>
      <c r="O210" s="4" t="n"/>
    </row>
    <row r="211">
      <c r="A211" s="4" t="n"/>
      <c r="B211" s="4" t="n"/>
      <c r="C211" s="4" t="n"/>
      <c r="D211" s="4" t="n"/>
      <c r="E211" s="4" t="n"/>
      <c r="F211" s="4" t="n"/>
      <c r="G211" s="4" t="n"/>
      <c r="H211" s="4" t="n"/>
      <c r="I211" s="4" t="n"/>
      <c r="J211" s="4" t="n"/>
      <c r="K211" s="4" t="n"/>
      <c r="L211" s="4" t="n"/>
      <c r="M211" s="4" t="n"/>
      <c r="N211" s="4" t="n"/>
      <c r="O211" s="4" t="n"/>
    </row>
    <row r="212">
      <c r="A212" s="4" t="n"/>
      <c r="B212" s="4" t="n"/>
      <c r="C212" s="4" t="n"/>
      <c r="D212" s="4" t="n"/>
      <c r="E212" s="4" t="n"/>
      <c r="F212" s="4" t="n"/>
      <c r="G212" s="4" t="n"/>
      <c r="H212" s="4" t="n"/>
      <c r="I212" s="4" t="n"/>
      <c r="J212" s="4" t="n"/>
      <c r="K212" s="4" t="n"/>
      <c r="L212" s="4" t="n"/>
      <c r="M212" s="4" t="n"/>
      <c r="N212" s="4" t="n"/>
      <c r="O212" s="4" t="n"/>
    </row>
    <row r="213">
      <c r="A213" s="4" t="n"/>
      <c r="B213" s="4" t="n"/>
      <c r="C213" s="4" t="n"/>
      <c r="D213" s="4" t="n"/>
      <c r="E213" s="4" t="n"/>
      <c r="F213" s="4" t="n"/>
      <c r="G213" s="4" t="n"/>
      <c r="H213" s="4" t="n"/>
      <c r="I213" s="4" t="n"/>
      <c r="J213" s="4" t="n"/>
      <c r="K213" s="4" t="n"/>
      <c r="L213" s="4" t="n"/>
      <c r="M213" s="4" t="n"/>
      <c r="N213" s="4" t="n"/>
      <c r="O213" s="4" t="n"/>
    </row>
    <row r="214">
      <c r="A214" s="4" t="n"/>
      <c r="B214" s="4" t="n"/>
      <c r="C214" s="4" t="n"/>
      <c r="D214" s="4" t="n"/>
      <c r="E214" s="4" t="n"/>
      <c r="F214" s="4" t="n"/>
      <c r="G214" s="4" t="n"/>
      <c r="H214" s="4" t="n"/>
      <c r="I214" s="4" t="n"/>
      <c r="J214" s="4" t="n"/>
      <c r="K214" s="4" t="n"/>
      <c r="L214" s="4" t="n"/>
      <c r="M214" s="4" t="n"/>
      <c r="N214" s="4" t="n"/>
      <c r="O214" s="4" t="n"/>
    </row>
    <row r="215">
      <c r="A215" s="4" t="n"/>
      <c r="B215" s="4" t="n"/>
      <c r="C215" s="4" t="n"/>
      <c r="D215" s="4" t="n"/>
      <c r="E215" s="4" t="n"/>
      <c r="F215" s="4" t="n"/>
      <c r="G215" s="4" t="n"/>
      <c r="H215" s="4" t="n"/>
      <c r="I215" s="4" t="n"/>
      <c r="J215" s="4" t="n"/>
      <c r="K215" s="4" t="n"/>
      <c r="L215" s="4" t="n"/>
      <c r="M215" s="4" t="n"/>
      <c r="N215" s="4" t="n"/>
      <c r="O215" s="4" t="n"/>
    </row>
    <row r="216">
      <c r="A216" s="4" t="n"/>
      <c r="B216" s="4" t="n"/>
      <c r="C216" s="4" t="n"/>
      <c r="D216" s="4" t="n"/>
      <c r="E216" s="4" t="n"/>
      <c r="F216" s="4" t="n"/>
      <c r="G216" s="4" t="n"/>
      <c r="H216" s="4" t="n"/>
      <c r="I216" s="4" t="n"/>
      <c r="J216" s="4" t="n"/>
      <c r="K216" s="4" t="n"/>
      <c r="L216" s="4" t="n"/>
      <c r="M216" s="4" t="n"/>
      <c r="N216" s="4" t="n"/>
      <c r="O216" s="4" t="n"/>
    </row>
    <row r="217">
      <c r="A217" s="4" t="n"/>
      <c r="B217" s="4" t="n"/>
      <c r="C217" s="4" t="n"/>
      <c r="D217" s="4" t="n"/>
      <c r="E217" s="4" t="n"/>
      <c r="F217" s="4" t="n"/>
      <c r="G217" s="4" t="n"/>
      <c r="H217" s="4" t="n"/>
      <c r="I217" s="4" t="n"/>
      <c r="J217" s="4" t="n"/>
      <c r="K217" s="4" t="n"/>
      <c r="L217" s="4" t="n"/>
      <c r="M217" s="4" t="n"/>
      <c r="N217" s="4" t="n"/>
      <c r="O217" s="4" t="n"/>
    </row>
    <row r="218">
      <c r="A218" s="4" t="n"/>
      <c r="B218" s="4" t="n"/>
      <c r="C218" s="4" t="n"/>
      <c r="D218" s="4" t="n"/>
      <c r="E218" s="4" t="n"/>
      <c r="F218" s="4" t="n"/>
      <c r="G218" s="4" t="n"/>
      <c r="H218" s="4" t="n"/>
      <c r="I218" s="4" t="n"/>
      <c r="J218" s="4" t="n"/>
      <c r="K218" s="4" t="n"/>
      <c r="L218" s="4" t="n"/>
      <c r="M218" s="4" t="n"/>
      <c r="N218" s="4" t="n"/>
      <c r="O218" s="4" t="n"/>
    </row>
    <row r="219">
      <c r="A219" s="4" t="n"/>
      <c r="B219" s="4" t="n"/>
      <c r="C219" s="4" t="n"/>
      <c r="D219" s="4" t="n"/>
      <c r="E219" s="4" t="n"/>
      <c r="F219" s="4" t="n"/>
      <c r="G219" s="4" t="n"/>
      <c r="H219" s="4" t="n"/>
      <c r="I219" s="4" t="n"/>
      <c r="J219" s="4" t="n"/>
      <c r="K219" s="4" t="n"/>
      <c r="L219" s="4" t="n"/>
      <c r="M219" s="4" t="n"/>
      <c r="N219" s="4" t="n"/>
      <c r="O219" s="4" t="n"/>
    </row>
    <row r="220">
      <c r="A220" s="4" t="n"/>
      <c r="B220" s="4" t="n"/>
      <c r="C220" s="4" t="n"/>
      <c r="D220" s="4" t="n"/>
      <c r="E220" s="4" t="n"/>
      <c r="F220" s="4" t="n"/>
      <c r="G220" s="4" t="n"/>
      <c r="H220" s="4" t="n"/>
      <c r="I220" s="4" t="n"/>
      <c r="J220" s="4" t="n"/>
      <c r="K220" s="4" t="n"/>
      <c r="L220" s="4" t="n"/>
      <c r="M220" s="4" t="n"/>
      <c r="N220" s="4" t="n"/>
      <c r="O220" s="4" t="n"/>
    </row>
    <row r="221">
      <c r="A221" s="4" t="n"/>
      <c r="B221" s="4" t="n"/>
      <c r="C221" s="4" t="n"/>
      <c r="D221" s="4" t="n"/>
      <c r="E221" s="4" t="n"/>
      <c r="F221" s="4" t="n"/>
      <c r="G221" s="4" t="n"/>
      <c r="H221" s="4" t="n"/>
      <c r="I221" s="4" t="n"/>
      <c r="J221" s="4" t="n"/>
      <c r="K221" s="4" t="n"/>
      <c r="L221" s="4" t="n"/>
      <c r="M221" s="4" t="n"/>
      <c r="N221" s="4" t="n"/>
      <c r="O221" s="4" t="n"/>
    </row>
    <row r="222">
      <c r="A222" s="4" t="n"/>
      <c r="B222" s="4" t="n"/>
      <c r="C222" s="4" t="n"/>
      <c r="D222" s="4" t="n"/>
      <c r="E222" s="4" t="n"/>
      <c r="F222" s="4" t="n"/>
      <c r="G222" s="4" t="n"/>
      <c r="H222" s="4" t="n"/>
      <c r="I222" s="4" t="n"/>
      <c r="J222" s="4" t="n"/>
      <c r="K222" s="4" t="n"/>
      <c r="L222" s="4" t="n"/>
      <c r="M222" s="4" t="n"/>
      <c r="N222" s="4" t="n"/>
      <c r="O222" s="4" t="n"/>
    </row>
    <row r="223">
      <c r="A223" s="4" t="n"/>
      <c r="B223" s="4" t="n"/>
      <c r="C223" s="4" t="n"/>
      <c r="D223" s="4" t="n"/>
      <c r="E223" s="4" t="n"/>
      <c r="F223" s="4" t="n"/>
      <c r="G223" s="4" t="n"/>
      <c r="H223" s="4" t="n"/>
      <c r="I223" s="4" t="n"/>
      <c r="J223" s="4" t="n"/>
      <c r="K223" s="4" t="n"/>
      <c r="L223" s="4" t="n"/>
      <c r="M223" s="4" t="n"/>
      <c r="N223" s="4" t="n"/>
      <c r="O223" s="4" t="n"/>
    </row>
    <row r="224">
      <c r="A224" s="4" t="n"/>
      <c r="B224" s="4" t="n"/>
      <c r="C224" s="4" t="n"/>
      <c r="D224" s="4" t="n"/>
      <c r="E224" s="4" t="n"/>
      <c r="F224" s="4" t="n"/>
      <c r="G224" s="4" t="n"/>
      <c r="H224" s="4" t="n"/>
      <c r="I224" s="4" t="n"/>
      <c r="J224" s="4" t="n"/>
      <c r="K224" s="4" t="n"/>
      <c r="L224" s="4" t="n"/>
      <c r="M224" s="4" t="n"/>
      <c r="N224" s="4" t="n"/>
      <c r="O224" s="4" t="n"/>
    </row>
    <row r="225">
      <c r="A225" s="4" t="n"/>
      <c r="B225" s="4" t="n"/>
      <c r="C225" s="4" t="n"/>
      <c r="D225" s="4" t="n"/>
      <c r="E225" s="4" t="n"/>
      <c r="F225" s="4" t="n"/>
      <c r="G225" s="4" t="n"/>
      <c r="H225" s="4" t="n"/>
      <c r="I225" s="4" t="n"/>
      <c r="J225" s="4" t="n"/>
      <c r="K225" s="4" t="n"/>
      <c r="L225" s="4" t="n"/>
      <c r="M225" s="4" t="n"/>
      <c r="N225" s="4" t="n"/>
      <c r="O225" s="4" t="n"/>
    </row>
    <row r="226">
      <c r="A226" s="4" t="n"/>
      <c r="B226" s="4" t="n"/>
      <c r="C226" s="4" t="n"/>
      <c r="D226" s="4" t="n"/>
      <c r="E226" s="4" t="n"/>
      <c r="F226" s="4" t="n"/>
      <c r="G226" s="4" t="n"/>
      <c r="H226" s="4" t="n"/>
      <c r="I226" s="4" t="n"/>
      <c r="J226" s="4" t="n"/>
      <c r="K226" s="4" t="n"/>
      <c r="L226" s="4" t="n"/>
      <c r="M226" s="4" t="n"/>
      <c r="N226" s="4" t="n"/>
      <c r="O226" s="4" t="n"/>
    </row>
    <row r="227">
      <c r="A227" s="4" t="n"/>
      <c r="B227" s="4" t="n"/>
      <c r="C227" s="4" t="n"/>
      <c r="D227" s="4" t="n"/>
      <c r="E227" s="4" t="n"/>
      <c r="F227" s="4" t="n"/>
      <c r="G227" s="4" t="n"/>
      <c r="H227" s="4" t="n"/>
      <c r="I227" s="4" t="n"/>
      <c r="J227" s="4" t="n"/>
      <c r="K227" s="4" t="n"/>
      <c r="L227" s="4" t="n"/>
      <c r="M227" s="4" t="n"/>
      <c r="N227" s="4" t="n"/>
      <c r="O227" s="4" t="n"/>
    </row>
    <row r="228">
      <c r="A228" s="4" t="n"/>
      <c r="B228" s="4" t="n"/>
      <c r="C228" s="4" t="n"/>
      <c r="D228" s="4" t="n"/>
      <c r="E228" s="4" t="n"/>
      <c r="F228" s="4" t="n"/>
      <c r="G228" s="4" t="n"/>
      <c r="H228" s="4" t="n"/>
      <c r="I228" s="4" t="n"/>
      <c r="J228" s="4" t="n"/>
      <c r="K228" s="4" t="n"/>
      <c r="L228" s="4" t="n"/>
      <c r="M228" s="4" t="n"/>
      <c r="N228" s="4" t="n"/>
      <c r="O228" s="4" t="n"/>
    </row>
    <row r="229">
      <c r="A229" s="4" t="n"/>
      <c r="B229" s="4" t="n"/>
      <c r="C229" s="4" t="n"/>
      <c r="D229" s="4" t="n"/>
      <c r="E229" s="4" t="n"/>
      <c r="F229" s="4" t="n"/>
      <c r="G229" s="4" t="n"/>
      <c r="H229" s="4" t="n"/>
      <c r="I229" s="4" t="n"/>
      <c r="J229" s="4" t="n"/>
      <c r="K229" s="4" t="n"/>
      <c r="L229" s="4" t="n"/>
      <c r="M229" s="4" t="n"/>
      <c r="N229" s="4" t="n"/>
      <c r="O229" s="4" t="n"/>
    </row>
    <row r="230">
      <c r="A230" s="4" t="n"/>
      <c r="B230" s="4" t="n"/>
      <c r="C230" s="4" t="n"/>
      <c r="D230" s="4" t="n"/>
      <c r="E230" s="4" t="n"/>
      <c r="F230" s="4" t="n"/>
      <c r="G230" s="4" t="n"/>
      <c r="H230" s="4" t="n"/>
      <c r="I230" s="4" t="n"/>
      <c r="J230" s="4" t="n"/>
      <c r="K230" s="4" t="n"/>
      <c r="L230" s="4" t="n"/>
      <c r="M230" s="4" t="n"/>
      <c r="N230" s="4" t="n"/>
      <c r="O230" s="4" t="n"/>
    </row>
    <row r="231">
      <c r="A231" s="4" t="n"/>
      <c r="B231" s="4" t="n"/>
      <c r="C231" s="4" t="n"/>
      <c r="D231" s="4" t="n"/>
      <c r="E231" s="4" t="n"/>
      <c r="F231" s="4" t="n"/>
      <c r="G231" s="4" t="n"/>
      <c r="H231" s="4" t="n"/>
      <c r="I231" s="4" t="n"/>
      <c r="J231" s="4" t="n"/>
      <c r="K231" s="4" t="n"/>
      <c r="L231" s="4" t="n"/>
      <c r="M231" s="4" t="n"/>
      <c r="N231" s="4" t="n"/>
      <c r="O231" s="4" t="n"/>
    </row>
    <row r="232">
      <c r="A232" s="4" t="n"/>
      <c r="B232" s="4" t="n"/>
      <c r="C232" s="4" t="n"/>
      <c r="D232" s="4" t="n"/>
      <c r="E232" s="4" t="n"/>
      <c r="F232" s="4" t="n"/>
      <c r="G232" s="4" t="n"/>
      <c r="H232" s="4" t="n"/>
      <c r="I232" s="4" t="n"/>
      <c r="J232" s="4" t="n"/>
      <c r="K232" s="4" t="n"/>
      <c r="L232" s="4" t="n"/>
      <c r="M232" s="4" t="n"/>
      <c r="N232" s="4" t="n"/>
      <c r="O232" s="4" t="n"/>
    </row>
    <row r="233">
      <c r="A233" s="4" t="n"/>
      <c r="B233" s="4" t="n"/>
      <c r="C233" s="4" t="n"/>
      <c r="D233" s="4" t="n"/>
      <c r="E233" s="4" t="n"/>
      <c r="F233" s="4" t="n"/>
      <c r="G233" s="4" t="n"/>
      <c r="H233" s="4" t="n"/>
      <c r="I233" s="4" t="n"/>
      <c r="J233" s="4" t="n"/>
      <c r="K233" s="4" t="n"/>
      <c r="L233" s="4" t="n"/>
      <c r="M233" s="4" t="n"/>
      <c r="N233" s="4" t="n"/>
      <c r="O233" s="4" t="n"/>
    </row>
    <row r="234">
      <c r="A234" s="4" t="n"/>
      <c r="B234" s="4" t="n"/>
      <c r="C234" s="4" t="n"/>
      <c r="D234" s="4" t="n"/>
      <c r="E234" s="4" t="n"/>
      <c r="F234" s="4" t="n"/>
      <c r="G234" s="4" t="n"/>
      <c r="H234" s="4" t="n"/>
      <c r="I234" s="4" t="n"/>
      <c r="J234" s="4" t="n"/>
      <c r="K234" s="4" t="n"/>
      <c r="L234" s="4" t="n"/>
      <c r="M234" s="4" t="n"/>
      <c r="N234" s="4" t="n"/>
      <c r="O234" s="4" t="n"/>
    </row>
    <row r="235">
      <c r="A235" s="4" t="n"/>
      <c r="B235" s="4" t="n"/>
      <c r="C235" s="4" t="n"/>
      <c r="D235" s="4" t="n"/>
      <c r="E235" s="4" t="n"/>
      <c r="F235" s="4" t="n"/>
      <c r="G235" s="4" t="n"/>
      <c r="H235" s="4" t="n"/>
      <c r="I235" s="4" t="n"/>
      <c r="J235" s="4" t="n"/>
      <c r="K235" s="4" t="n"/>
      <c r="L235" s="4" t="n"/>
      <c r="M235" s="4" t="n"/>
      <c r="N235" s="4" t="n"/>
      <c r="O235" s="4" t="n"/>
    </row>
    <row r="236">
      <c r="A236" s="4" t="n"/>
      <c r="B236" s="4" t="n"/>
      <c r="C236" s="4" t="n"/>
      <c r="D236" s="4" t="n"/>
      <c r="E236" s="4" t="n"/>
      <c r="F236" s="4" t="n"/>
      <c r="G236" s="4" t="n"/>
      <c r="H236" s="4" t="n"/>
      <c r="I236" s="4" t="n"/>
      <c r="J236" s="4" t="n"/>
      <c r="K236" s="4" t="n"/>
      <c r="L236" s="4" t="n"/>
      <c r="M236" s="4" t="n"/>
      <c r="N236" s="4" t="n"/>
      <c r="O236" s="4" t="n"/>
    </row>
    <row r="237">
      <c r="A237" s="4" t="n"/>
      <c r="B237" s="4" t="n"/>
      <c r="C237" s="4" t="n"/>
      <c r="D237" s="4" t="n"/>
      <c r="E237" s="4" t="n"/>
      <c r="F237" s="4" t="n"/>
      <c r="G237" s="4" t="n"/>
      <c r="H237" s="4" t="n"/>
      <c r="I237" s="4" t="n"/>
      <c r="J237" s="4" t="n"/>
      <c r="K237" s="4" t="n"/>
      <c r="L237" s="4" t="n"/>
      <c r="M237" s="4" t="n"/>
      <c r="N237" s="4" t="n"/>
      <c r="O237" s="4" t="n"/>
    </row>
    <row r="238">
      <c r="A238" s="4" t="n"/>
      <c r="B238" s="4" t="n"/>
      <c r="C238" s="4" t="n"/>
      <c r="D238" s="4" t="n"/>
      <c r="E238" s="4" t="n"/>
      <c r="F238" s="4" t="n"/>
      <c r="G238" s="4" t="n"/>
      <c r="H238" s="4" t="n"/>
      <c r="I238" s="4" t="n"/>
      <c r="J238" s="4" t="n"/>
      <c r="K238" s="4" t="n"/>
      <c r="L238" s="4" t="n"/>
      <c r="M238" s="4" t="n"/>
      <c r="N238" s="4" t="n"/>
      <c r="O238" s="4" t="n"/>
    </row>
    <row r="239">
      <c r="A239" s="4" t="n"/>
      <c r="B239" s="4" t="n"/>
      <c r="C239" s="4" t="n"/>
      <c r="D239" s="4" t="n"/>
      <c r="E239" s="4" t="n"/>
      <c r="F239" s="4" t="n"/>
      <c r="G239" s="4" t="n"/>
      <c r="H239" s="4" t="n"/>
      <c r="I239" s="4" t="n"/>
      <c r="J239" s="4" t="n"/>
      <c r="K239" s="4" t="n"/>
      <c r="L239" s="4" t="n"/>
      <c r="M239" s="4" t="n"/>
      <c r="N239" s="4" t="n"/>
      <c r="O239" s="4" t="n"/>
    </row>
    <row r="240">
      <c r="A240" s="4" t="n"/>
      <c r="B240" s="4" t="n"/>
      <c r="C240" s="4" t="n"/>
      <c r="D240" s="4" t="n"/>
      <c r="E240" s="4" t="n"/>
      <c r="F240" s="4" t="n"/>
      <c r="G240" s="4" t="n"/>
      <c r="H240" s="4" t="n"/>
      <c r="I240" s="4" t="n"/>
      <c r="J240" s="4" t="n"/>
      <c r="K240" s="4" t="n"/>
      <c r="L240" s="4" t="n"/>
      <c r="M240" s="4" t="n"/>
      <c r="N240" s="4" t="n"/>
      <c r="O240" s="4" t="n"/>
    </row>
    <row r="241">
      <c r="A241" s="4" t="n"/>
      <c r="B241" s="4" t="n"/>
      <c r="C241" s="4" t="n"/>
      <c r="D241" s="4" t="n"/>
      <c r="E241" s="4" t="n"/>
      <c r="F241" s="4" t="n"/>
      <c r="G241" s="4" t="n"/>
      <c r="H241" s="4" t="n"/>
      <c r="I241" s="4" t="n"/>
      <c r="J241" s="4" t="n"/>
      <c r="K241" s="4" t="n"/>
      <c r="L241" s="4" t="n"/>
      <c r="M241" s="4" t="n"/>
      <c r="N241" s="4" t="n"/>
      <c r="O241" s="4" t="n"/>
    </row>
    <row r="242">
      <c r="A242" s="4" t="n"/>
      <c r="B242" s="4" t="n"/>
      <c r="C242" s="4" t="n"/>
      <c r="D242" s="4" t="n"/>
      <c r="E242" s="4" t="n"/>
      <c r="F242" s="4" t="n"/>
      <c r="G242" s="4" t="n"/>
      <c r="H242" s="4" t="n"/>
      <c r="I242" s="4" t="n"/>
      <c r="J242" s="4" t="n"/>
      <c r="K242" s="4" t="n"/>
      <c r="L242" s="4" t="n"/>
      <c r="M242" s="4" t="n"/>
      <c r="N242" s="4" t="n"/>
      <c r="O242" s="4" t="n"/>
    </row>
    <row r="243">
      <c r="A243" s="4" t="n"/>
      <c r="B243" s="4" t="n"/>
      <c r="C243" s="4" t="n"/>
      <c r="D243" s="4" t="n"/>
      <c r="E243" s="4" t="n"/>
      <c r="F243" s="4" t="n"/>
      <c r="G243" s="4" t="n"/>
      <c r="H243" s="4" t="n"/>
      <c r="I243" s="4" t="n"/>
      <c r="J243" s="4" t="n"/>
      <c r="K243" s="4" t="n"/>
      <c r="L243" s="4" t="n"/>
      <c r="M243" s="4" t="n"/>
      <c r="N243" s="4" t="n"/>
      <c r="O243" s="4" t="n"/>
    </row>
    <row r="244">
      <c r="A244" s="4" t="n"/>
      <c r="B244" s="4" t="n"/>
      <c r="C244" s="4" t="n"/>
      <c r="D244" s="4" t="n"/>
      <c r="E244" s="4" t="n"/>
      <c r="F244" s="4" t="n"/>
      <c r="G244" s="4" t="n"/>
      <c r="H244" s="4" t="n"/>
      <c r="I244" s="4" t="n"/>
      <c r="J244" s="4" t="n"/>
      <c r="K244" s="4" t="n"/>
      <c r="L244" s="4" t="n"/>
      <c r="M244" s="4" t="n"/>
      <c r="N244" s="4" t="n"/>
      <c r="O244" s="4" t="n"/>
    </row>
    <row r="245">
      <c r="A245" s="4" t="n"/>
      <c r="B245" s="4" t="n"/>
      <c r="C245" s="4" t="n"/>
      <c r="D245" s="4" t="n"/>
      <c r="E245" s="4" t="n"/>
      <c r="F245" s="4" t="n"/>
      <c r="G245" s="4" t="n"/>
      <c r="H245" s="4" t="n"/>
      <c r="I245" s="4" t="n"/>
      <c r="J245" s="4" t="n"/>
      <c r="K245" s="4" t="n"/>
      <c r="L245" s="4" t="n"/>
      <c r="M245" s="4" t="n"/>
      <c r="N245" s="4" t="n"/>
      <c r="O245" s="4" t="n"/>
    </row>
    <row r="246">
      <c r="A246" s="4" t="n"/>
      <c r="B246" s="4" t="n"/>
      <c r="C246" s="4" t="n"/>
      <c r="D246" s="4" t="n"/>
      <c r="E246" s="4" t="n"/>
      <c r="F246" s="4" t="n"/>
      <c r="G246" s="4" t="n"/>
      <c r="H246" s="4" t="n"/>
      <c r="I246" s="4" t="n"/>
      <c r="J246" s="4" t="n"/>
      <c r="K246" s="4" t="n"/>
      <c r="L246" s="4" t="n"/>
      <c r="M246" s="4" t="n"/>
      <c r="N246" s="4" t="n"/>
      <c r="O246" s="4" t="n"/>
    </row>
    <row r="247">
      <c r="A247" s="4" t="n"/>
      <c r="B247" s="4" t="n"/>
      <c r="C247" s="4" t="n"/>
      <c r="D247" s="4" t="n"/>
      <c r="E247" s="4" t="n"/>
      <c r="F247" s="4" t="n"/>
      <c r="G247" s="4" t="n"/>
      <c r="H247" s="4" t="n"/>
      <c r="I247" s="4" t="n"/>
      <c r="J247" s="4" t="n"/>
      <c r="K247" s="4" t="n"/>
      <c r="L247" s="4" t="n"/>
      <c r="M247" s="4" t="n"/>
      <c r="N247" s="4" t="n"/>
      <c r="O247" s="4" t="n"/>
    </row>
    <row r="248">
      <c r="A248" s="4" t="n"/>
      <c r="B248" s="4" t="n"/>
      <c r="C248" s="4" t="n"/>
      <c r="D248" s="4" t="n"/>
      <c r="E248" s="4" t="n"/>
      <c r="F248" s="4" t="n"/>
      <c r="G248" s="4" t="n"/>
      <c r="H248" s="4" t="n"/>
      <c r="I248" s="4" t="n"/>
      <c r="J248" s="4" t="n"/>
      <c r="K248" s="4" t="n"/>
      <c r="L248" s="4" t="n"/>
      <c r="M248" s="4" t="n"/>
      <c r="N248" s="4" t="n"/>
      <c r="O248" s="4" t="n"/>
    </row>
    <row r="249">
      <c r="A249" s="4" t="n"/>
      <c r="B249" s="4" t="n"/>
      <c r="C249" s="4" t="n"/>
      <c r="D249" s="4" t="n"/>
      <c r="E249" s="4" t="n"/>
      <c r="F249" s="4" t="n"/>
      <c r="G249" s="4" t="n"/>
      <c r="H249" s="4" t="n"/>
      <c r="I249" s="4" t="n"/>
      <c r="J249" s="4" t="n"/>
      <c r="K249" s="4" t="n"/>
      <c r="L249" s="4" t="n"/>
      <c r="M249" s="4" t="n"/>
      <c r="N249" s="4" t="n"/>
      <c r="O249" s="4" t="n"/>
    </row>
    <row r="250">
      <c r="A250" s="4" t="n"/>
      <c r="B250" s="4" t="n"/>
      <c r="C250" s="4" t="n"/>
      <c r="D250" s="4" t="n"/>
      <c r="E250" s="4" t="n"/>
      <c r="F250" s="4" t="n"/>
      <c r="G250" s="4" t="n"/>
      <c r="H250" s="4" t="n"/>
      <c r="I250" s="4" t="n"/>
      <c r="J250" s="4" t="n"/>
      <c r="K250" s="4" t="n"/>
      <c r="L250" s="4" t="n"/>
      <c r="M250" s="4" t="n"/>
      <c r="N250" s="4" t="n"/>
      <c r="O250" s="4" t="n"/>
    </row>
    <row r="251">
      <c r="A251" s="4" t="n"/>
      <c r="B251" s="4" t="n"/>
      <c r="C251" s="4" t="n"/>
      <c r="D251" s="4" t="n"/>
      <c r="E251" s="4" t="n"/>
      <c r="F251" s="4" t="n"/>
      <c r="G251" s="4" t="n"/>
      <c r="H251" s="4" t="n"/>
      <c r="I251" s="4" t="n"/>
      <c r="J251" s="4" t="n"/>
      <c r="K251" s="4" t="n"/>
      <c r="L251" s="4" t="n"/>
      <c r="M251" s="4" t="n"/>
      <c r="N251" s="4" t="n"/>
      <c r="O251" s="4" t="n"/>
    </row>
    <row r="252">
      <c r="A252" s="4" t="n"/>
      <c r="B252" s="4" t="n"/>
      <c r="C252" s="4" t="n"/>
      <c r="D252" s="4" t="n"/>
      <c r="E252" s="4" t="n"/>
      <c r="F252" s="4" t="n"/>
      <c r="G252" s="4" t="n"/>
      <c r="H252" s="4" t="n"/>
      <c r="I252" s="4" t="n"/>
      <c r="J252" s="4" t="n"/>
      <c r="K252" s="4" t="n"/>
      <c r="L252" s="4" t="n"/>
      <c r="M252" s="4" t="n"/>
      <c r="N252" s="4" t="n"/>
      <c r="O252" s="4" t="n"/>
    </row>
    <row r="253">
      <c r="A253" s="4" t="n"/>
      <c r="B253" s="4" t="n"/>
      <c r="C253" s="4" t="n"/>
      <c r="D253" s="4" t="n"/>
      <c r="E253" s="4" t="n"/>
      <c r="F253" s="4" t="n"/>
      <c r="G253" s="4" t="n"/>
      <c r="H253" s="4" t="n"/>
      <c r="I253" s="4" t="n"/>
      <c r="J253" s="4" t="n"/>
      <c r="K253" s="4" t="n"/>
      <c r="L253" s="4" t="n"/>
      <c r="M253" s="4" t="n"/>
      <c r="N253" s="4" t="n"/>
      <c r="O253" s="4" t="n"/>
    </row>
    <row r="254">
      <c r="A254" s="4" t="n"/>
      <c r="B254" s="4" t="n"/>
      <c r="C254" s="4" t="n"/>
      <c r="D254" s="4" t="n"/>
      <c r="E254" s="4" t="n"/>
      <c r="F254" s="4" t="n"/>
      <c r="G254" s="4" t="n"/>
      <c r="H254" s="4" t="n"/>
      <c r="I254" s="4" t="n"/>
      <c r="J254" s="4" t="n"/>
      <c r="K254" s="4" t="n"/>
      <c r="L254" s="4" t="n"/>
      <c r="M254" s="4" t="n"/>
      <c r="N254" s="4" t="n"/>
      <c r="O254" s="4" t="n"/>
    </row>
    <row r="255">
      <c r="A255" s="4" t="n"/>
      <c r="B255" s="4" t="n"/>
      <c r="C255" s="4" t="n"/>
      <c r="D255" s="4" t="n"/>
      <c r="E255" s="4" t="n"/>
      <c r="F255" s="4" t="n"/>
      <c r="G255" s="4" t="n"/>
      <c r="H255" s="4" t="n"/>
      <c r="I255" s="4" t="n"/>
      <c r="J255" s="4" t="n"/>
      <c r="K255" s="4" t="n"/>
      <c r="L255" s="4" t="n"/>
      <c r="M255" s="4" t="n"/>
      <c r="N255" s="4" t="n"/>
      <c r="O255" s="4" t="n"/>
    </row>
    <row r="256">
      <c r="A256" s="4" t="n"/>
      <c r="B256" s="4" t="n"/>
      <c r="C256" s="4" t="n"/>
      <c r="D256" s="4" t="n"/>
      <c r="E256" s="4" t="n"/>
      <c r="F256" s="4" t="n"/>
      <c r="G256" s="4" t="n"/>
      <c r="H256" s="4" t="n"/>
      <c r="I256" s="4" t="n"/>
      <c r="J256" s="4" t="n"/>
      <c r="K256" s="4" t="n"/>
      <c r="L256" s="4" t="n"/>
      <c r="M256" s="4" t="n"/>
      <c r="N256" s="4" t="n"/>
      <c r="O256" s="4" t="n"/>
    </row>
    <row r="257">
      <c r="A257" s="4" t="n"/>
      <c r="B257" s="4" t="n"/>
      <c r="C257" s="4" t="n"/>
      <c r="D257" s="4" t="n"/>
      <c r="E257" s="4" t="n"/>
      <c r="F257" s="4" t="n"/>
      <c r="G257" s="4" t="n"/>
      <c r="H257" s="4" t="n"/>
      <c r="I257" s="4" t="n"/>
      <c r="J257" s="4" t="n"/>
      <c r="K257" s="4" t="n"/>
      <c r="L257" s="4" t="n"/>
      <c r="M257" s="4" t="n"/>
      <c r="N257" s="4" t="n"/>
      <c r="O257" s="4" t="n"/>
    </row>
    <row r="258">
      <c r="A258" s="4" t="n"/>
      <c r="B258" s="4" t="n"/>
      <c r="C258" s="4" t="n"/>
      <c r="D258" s="4" t="n"/>
      <c r="E258" s="4" t="n"/>
      <c r="F258" s="4" t="n"/>
      <c r="G258" s="4" t="n"/>
      <c r="H258" s="4" t="n"/>
      <c r="I258" s="4" t="n"/>
      <c r="J258" s="4" t="n"/>
      <c r="K258" s="4" t="n"/>
      <c r="L258" s="4" t="n"/>
      <c r="M258" s="4" t="n"/>
      <c r="N258" s="4" t="n"/>
      <c r="O258" s="4" t="n"/>
    </row>
    <row r="259">
      <c r="A259" s="4" t="n"/>
      <c r="B259" s="4" t="n"/>
      <c r="C259" s="4" t="n"/>
      <c r="D259" s="4" t="n"/>
      <c r="E259" s="4" t="n"/>
      <c r="F259" s="4" t="n"/>
      <c r="G259" s="4" t="n"/>
      <c r="H259" s="4" t="n"/>
      <c r="I259" s="4" t="n"/>
      <c r="J259" s="4" t="n"/>
      <c r="K259" s="4" t="n"/>
      <c r="L259" s="4" t="n"/>
      <c r="M259" s="4" t="n"/>
      <c r="N259" s="4" t="n"/>
      <c r="O259" s="4" t="n"/>
    </row>
    <row r="260">
      <c r="A260" s="4" t="n"/>
      <c r="B260" s="4" t="n"/>
      <c r="C260" s="4" t="n"/>
      <c r="D260" s="4" t="n"/>
      <c r="E260" s="4" t="n"/>
      <c r="F260" s="4" t="n"/>
      <c r="G260" s="4" t="n"/>
      <c r="H260" s="4" t="n"/>
      <c r="I260" s="4" t="n"/>
      <c r="J260" s="4" t="n"/>
      <c r="K260" s="4" t="n"/>
      <c r="L260" s="4" t="n"/>
      <c r="M260" s="4" t="n"/>
      <c r="N260" s="4" t="n"/>
      <c r="O260" s="4" t="n"/>
    </row>
    <row r="261">
      <c r="A261" s="4" t="n"/>
      <c r="B261" s="4" t="n"/>
      <c r="C261" s="4" t="n"/>
      <c r="D261" s="4" t="n"/>
      <c r="E261" s="4" t="n"/>
      <c r="F261" s="4" t="n"/>
      <c r="G261" s="4" t="n"/>
      <c r="H261" s="4" t="n"/>
      <c r="I261" s="4" t="n"/>
      <c r="J261" s="4" t="n"/>
      <c r="K261" s="4" t="n"/>
      <c r="L261" s="4" t="n"/>
      <c r="M261" s="4" t="n"/>
      <c r="N261" s="4" t="n"/>
      <c r="O261" s="4" t="n"/>
    </row>
    <row r="262">
      <c r="A262" s="4" t="n"/>
      <c r="B262" s="4" t="n"/>
      <c r="C262" s="4" t="n"/>
      <c r="D262" s="4" t="n"/>
      <c r="E262" s="4" t="n"/>
      <c r="F262" s="4" t="n"/>
      <c r="G262" s="4" t="n"/>
      <c r="H262" s="4" t="n"/>
      <c r="I262" s="4" t="n"/>
      <c r="J262" s="4" t="n"/>
      <c r="K262" s="4" t="n"/>
      <c r="L262" s="4" t="n"/>
      <c r="M262" s="4" t="n"/>
      <c r="N262" s="4" t="n"/>
      <c r="O262" s="4" t="n"/>
    </row>
    <row r="263">
      <c r="A263" s="4" t="n"/>
      <c r="B263" s="4" t="n"/>
      <c r="C263" s="4" t="n"/>
      <c r="D263" s="4" t="n"/>
      <c r="E263" s="4" t="n"/>
      <c r="F263" s="4" t="n"/>
      <c r="G263" s="4" t="n"/>
      <c r="H263" s="4" t="n"/>
      <c r="I263" s="4" t="n"/>
      <c r="J263" s="4" t="n"/>
      <c r="K263" s="4" t="n"/>
      <c r="L263" s="4" t="n"/>
      <c r="M263" s="4" t="n"/>
      <c r="N263" s="4" t="n"/>
      <c r="O263" s="4" t="n"/>
    </row>
    <row r="264">
      <c r="A264" s="4" t="n"/>
      <c r="B264" s="4" t="n"/>
      <c r="C264" s="4" t="n"/>
      <c r="D264" s="4" t="n"/>
      <c r="E264" s="4" t="n"/>
      <c r="F264" s="4" t="n"/>
      <c r="G264" s="4" t="n"/>
      <c r="H264" s="4" t="n"/>
      <c r="I264" s="4" t="n"/>
      <c r="J264" s="4" t="n"/>
      <c r="K264" s="4" t="n"/>
      <c r="L264" s="4" t="n"/>
      <c r="M264" s="4" t="n"/>
      <c r="N264" s="4" t="n"/>
      <c r="O264" s="4" t="n"/>
    </row>
    <row r="265">
      <c r="A265" s="4" t="n"/>
      <c r="B265" s="4" t="n"/>
      <c r="C265" s="4" t="n"/>
      <c r="D265" s="4" t="n"/>
      <c r="E265" s="4" t="n"/>
      <c r="F265" s="4" t="n"/>
      <c r="G265" s="4" t="n"/>
      <c r="H265" s="4" t="n"/>
      <c r="I265" s="4" t="n"/>
      <c r="J265" s="4" t="n"/>
      <c r="K265" s="4" t="n"/>
      <c r="L265" s="4" t="n"/>
      <c r="M265" s="4" t="n"/>
      <c r="N265" s="4" t="n"/>
      <c r="O265" s="4" t="n"/>
    </row>
    <row r="266">
      <c r="A266" s="4" t="n"/>
      <c r="B266" s="4" t="n"/>
      <c r="C266" s="4" t="n"/>
      <c r="D266" s="4" t="n"/>
      <c r="E266" s="4" t="n"/>
      <c r="F266" s="4" t="n"/>
      <c r="G266" s="4" t="n"/>
      <c r="H266" s="4" t="n"/>
      <c r="I266" s="4" t="n"/>
      <c r="J266" s="4" t="n"/>
      <c r="K266" s="4" t="n"/>
      <c r="L266" s="4" t="n"/>
      <c r="M266" s="4" t="n"/>
      <c r="N266" s="4" t="n"/>
      <c r="O266" s="4" t="n"/>
    </row>
    <row r="267">
      <c r="A267" s="4" t="n"/>
      <c r="B267" s="4" t="n"/>
      <c r="C267" s="4" t="n"/>
      <c r="D267" s="4" t="n"/>
      <c r="E267" s="4" t="n"/>
      <c r="F267" s="4" t="n"/>
      <c r="G267" s="4" t="n"/>
      <c r="H267" s="4" t="n"/>
      <c r="I267" s="4" t="n"/>
      <c r="J267" s="4" t="n"/>
      <c r="K267" s="4" t="n"/>
      <c r="L267" s="4" t="n"/>
      <c r="M267" s="4" t="n"/>
      <c r="N267" s="4" t="n"/>
      <c r="O267" s="4" t="n"/>
    </row>
    <row r="268">
      <c r="A268" s="4" t="n"/>
      <c r="B268" s="4" t="n"/>
      <c r="C268" s="4" t="n"/>
      <c r="D268" s="4" t="n"/>
      <c r="E268" s="4" t="n"/>
      <c r="F268" s="4" t="n"/>
      <c r="G268" s="4" t="n"/>
      <c r="H268" s="4" t="n"/>
      <c r="I268" s="4" t="n"/>
      <c r="J268" s="4" t="n"/>
      <c r="K268" s="4" t="n"/>
      <c r="L268" s="4" t="n"/>
      <c r="M268" s="4" t="n"/>
      <c r="N268" s="4" t="n"/>
      <c r="O268" s="4" t="n"/>
    </row>
    <row r="269">
      <c r="A269" s="4" t="n"/>
      <c r="B269" s="4" t="n"/>
      <c r="C269" s="4" t="n"/>
      <c r="D269" s="4" t="n"/>
      <c r="E269" s="4" t="n"/>
      <c r="F269" s="4" t="n"/>
      <c r="G269" s="4" t="n"/>
      <c r="H269" s="4" t="n"/>
      <c r="I269" s="4" t="n"/>
      <c r="J269" s="4" t="n"/>
      <c r="K269" s="4" t="n"/>
      <c r="L269" s="4" t="n"/>
      <c r="M269" s="4" t="n"/>
      <c r="N269" s="4" t="n"/>
      <c r="O269" s="4" t="n"/>
    </row>
    <row r="270">
      <c r="A270" s="4" t="n"/>
      <c r="B270" s="4" t="n"/>
      <c r="C270" s="4" t="n"/>
      <c r="D270" s="4" t="n"/>
      <c r="E270" s="4" t="n"/>
      <c r="F270" s="4" t="n"/>
      <c r="G270" s="4" t="n"/>
      <c r="H270" s="4" t="n"/>
      <c r="I270" s="4" t="n"/>
      <c r="J270" s="4" t="n"/>
      <c r="K270" s="4" t="n"/>
      <c r="L270" s="4" t="n"/>
      <c r="M270" s="4" t="n"/>
      <c r="N270" s="4" t="n"/>
      <c r="O270" s="4" t="n"/>
    </row>
    <row r="271">
      <c r="A271" s="4" t="n"/>
      <c r="B271" s="4" t="n"/>
      <c r="C271" s="4" t="n"/>
      <c r="D271" s="4" t="n"/>
      <c r="E271" s="4" t="n"/>
      <c r="F271" s="4" t="n"/>
      <c r="G271" s="4" t="n"/>
      <c r="H271" s="4" t="n"/>
      <c r="I271" s="4" t="n"/>
      <c r="J271" s="4" t="n"/>
      <c r="K271" s="4" t="n"/>
      <c r="L271" s="4" t="n"/>
      <c r="M271" s="4" t="n"/>
      <c r="N271" s="4" t="n"/>
      <c r="O271" s="4" t="n"/>
    </row>
    <row r="272">
      <c r="A272" s="4" t="n"/>
      <c r="B272" s="4" t="n"/>
      <c r="C272" s="4" t="n"/>
      <c r="D272" s="4" t="n"/>
      <c r="E272" s="4" t="n"/>
      <c r="F272" s="4" t="n"/>
      <c r="G272" s="4" t="n"/>
      <c r="H272" s="4" t="n"/>
      <c r="I272" s="4" t="n"/>
      <c r="J272" s="4" t="n"/>
      <c r="K272" s="4" t="n"/>
      <c r="L272" s="4" t="n"/>
      <c r="M272" s="4" t="n"/>
      <c r="N272" s="4" t="n"/>
      <c r="O272" s="4" t="n"/>
    </row>
    <row r="273">
      <c r="A273" s="4" t="n"/>
      <c r="B273" s="4" t="n"/>
      <c r="C273" s="4" t="n"/>
      <c r="D273" s="4" t="n"/>
      <c r="E273" s="4" t="n"/>
      <c r="F273" s="4" t="n"/>
      <c r="G273" s="4" t="n"/>
      <c r="H273" s="4" t="n"/>
      <c r="I273" s="4" t="n"/>
      <c r="J273" s="4" t="n"/>
      <c r="K273" s="4" t="n"/>
      <c r="L273" s="4" t="n"/>
      <c r="M273" s="4" t="n"/>
      <c r="N273" s="4" t="n"/>
      <c r="O273" s="4" t="n"/>
    </row>
    <row r="274">
      <c r="A274" s="4" t="n"/>
      <c r="B274" s="4" t="n"/>
      <c r="C274" s="4" t="n"/>
      <c r="D274" s="4" t="n"/>
      <c r="E274" s="4" t="n"/>
      <c r="F274" s="4" t="n"/>
      <c r="G274" s="4" t="n"/>
      <c r="H274" s="4" t="n"/>
      <c r="I274" s="4" t="n"/>
      <c r="J274" s="4" t="n"/>
      <c r="K274" s="4" t="n"/>
      <c r="L274" s="4" t="n"/>
      <c r="M274" s="4" t="n"/>
      <c r="N274" s="4" t="n"/>
      <c r="O274" s="4" t="n"/>
    </row>
    <row r="275">
      <c r="A275" s="4" t="n"/>
      <c r="B275" s="4" t="n"/>
      <c r="C275" s="4" t="n"/>
      <c r="D275" s="4" t="n"/>
      <c r="E275" s="4" t="n"/>
      <c r="F275" s="4" t="n"/>
      <c r="G275" s="4" t="n"/>
      <c r="H275" s="4" t="n"/>
      <c r="I275" s="4" t="n"/>
      <c r="J275" s="4" t="n"/>
      <c r="K275" s="4" t="n"/>
      <c r="L275" s="4" t="n"/>
      <c r="M275" s="4" t="n"/>
      <c r="N275" s="4" t="n"/>
      <c r="O275" s="4" t="n"/>
    </row>
    <row r="276">
      <c r="A276" s="4" t="n"/>
      <c r="B276" s="4" t="n"/>
      <c r="C276" s="4" t="n"/>
      <c r="D276" s="4" t="n"/>
      <c r="E276" s="4" t="n"/>
      <c r="F276" s="4" t="n"/>
      <c r="G276" s="4" t="n"/>
      <c r="H276" s="4" t="n"/>
      <c r="I276" s="4" t="n"/>
      <c r="J276" s="4" t="n"/>
      <c r="K276" s="4" t="n"/>
      <c r="L276" s="4" t="n"/>
      <c r="M276" s="4" t="n"/>
      <c r="N276" s="4" t="n"/>
      <c r="O276" s="4" t="n"/>
    </row>
    <row r="277">
      <c r="A277" s="4" t="n"/>
      <c r="B277" s="4" t="n"/>
      <c r="C277" s="4" t="n"/>
      <c r="D277" s="4" t="n"/>
      <c r="E277" s="4" t="n"/>
      <c r="F277" s="4" t="n"/>
      <c r="G277" s="4" t="n"/>
      <c r="H277" s="4" t="n"/>
      <c r="I277" s="4" t="n"/>
      <c r="J277" s="4" t="n"/>
      <c r="K277" s="4" t="n"/>
      <c r="L277" s="4" t="n"/>
      <c r="M277" s="4" t="n"/>
      <c r="N277" s="4" t="n"/>
      <c r="O277" s="4" t="n"/>
    </row>
    <row r="278">
      <c r="A278" s="4" t="n"/>
      <c r="B278" s="4" t="n"/>
      <c r="C278" s="4" t="n"/>
      <c r="D278" s="4" t="n"/>
      <c r="E278" s="4" t="n"/>
      <c r="F278" s="4" t="n"/>
      <c r="G278" s="4" t="n"/>
      <c r="H278" s="4" t="n"/>
      <c r="I278" s="4" t="n"/>
      <c r="J278" s="4" t="n"/>
      <c r="K278" s="4" t="n"/>
      <c r="L278" s="4" t="n"/>
      <c r="M278" s="4" t="n"/>
      <c r="N278" s="4" t="n"/>
      <c r="O278" s="4" t="n"/>
    </row>
    <row r="279">
      <c r="A279" s="4" t="n"/>
      <c r="B279" s="4" t="n"/>
      <c r="C279" s="4" t="n"/>
      <c r="D279" s="4" t="n"/>
      <c r="E279" s="4" t="n"/>
      <c r="F279" s="4" t="n"/>
      <c r="G279" s="4" t="n"/>
      <c r="H279" s="4" t="n"/>
      <c r="I279" s="4" t="n"/>
      <c r="J279" s="4" t="n"/>
      <c r="K279" s="4" t="n"/>
      <c r="L279" s="4" t="n"/>
      <c r="M279" s="4" t="n"/>
      <c r="N279" s="4" t="n"/>
      <c r="O279" s="4" t="n"/>
    </row>
    <row r="280">
      <c r="A280" s="4" t="n"/>
      <c r="B280" s="4" t="n"/>
      <c r="C280" s="4" t="n"/>
      <c r="D280" s="4" t="n"/>
      <c r="E280" s="4" t="n"/>
      <c r="F280" s="4" t="n"/>
      <c r="G280" s="4" t="n"/>
      <c r="H280" s="4" t="n"/>
      <c r="I280" s="4" t="n"/>
      <c r="J280" s="4" t="n"/>
      <c r="K280" s="4" t="n"/>
      <c r="L280" s="4" t="n"/>
      <c r="M280" s="4" t="n"/>
      <c r="N280" s="4" t="n"/>
      <c r="O280" s="4" t="n"/>
    </row>
    <row r="281">
      <c r="A281" s="4" t="n"/>
      <c r="B281" s="4" t="n"/>
      <c r="C281" s="4" t="n"/>
      <c r="D281" s="4" t="n"/>
      <c r="E281" s="4" t="n"/>
      <c r="F281" s="4" t="n"/>
      <c r="G281" s="4" t="n"/>
      <c r="H281" s="4" t="n"/>
      <c r="I281" s="4" t="n"/>
      <c r="J281" s="4" t="n"/>
      <c r="K281" s="4" t="n"/>
      <c r="L281" s="4" t="n"/>
      <c r="M281" s="4" t="n"/>
      <c r="N281" s="4" t="n"/>
      <c r="O281" s="4" t="n"/>
    </row>
    <row r="282">
      <c r="A282" s="4" t="n"/>
      <c r="B282" s="4" t="n"/>
      <c r="C282" s="4" t="n"/>
      <c r="D282" s="4" t="n"/>
      <c r="E282" s="4" t="n"/>
      <c r="F282" s="4" t="n"/>
      <c r="G282" s="4" t="n"/>
      <c r="H282" s="4" t="n"/>
      <c r="I282" s="4" t="n"/>
      <c r="J282" s="4" t="n"/>
      <c r="K282" s="4" t="n"/>
      <c r="L282" s="4" t="n"/>
      <c r="M282" s="4" t="n"/>
      <c r="N282" s="4" t="n"/>
      <c r="O282" s="4" t="n"/>
    </row>
    <row r="283">
      <c r="A283" s="4" t="n"/>
      <c r="B283" s="4" t="n"/>
      <c r="C283" s="4" t="n"/>
      <c r="D283" s="4" t="n"/>
      <c r="E283" s="4" t="n"/>
      <c r="F283" s="4" t="n"/>
      <c r="G283" s="4" t="n"/>
      <c r="H283" s="4" t="n"/>
      <c r="I283" s="4" t="n"/>
      <c r="J283" s="4" t="n"/>
      <c r="K283" s="4" t="n"/>
      <c r="L283" s="4" t="n"/>
      <c r="M283" s="4" t="n"/>
      <c r="N283" s="4" t="n"/>
      <c r="O283" s="4" t="n"/>
    </row>
    <row r="284">
      <c r="A284" s="4" t="n"/>
      <c r="B284" s="4" t="n"/>
      <c r="C284" s="4" t="n"/>
      <c r="D284" s="4" t="n"/>
      <c r="E284" s="4" t="n"/>
      <c r="F284" s="4" t="n"/>
      <c r="G284" s="4" t="n"/>
      <c r="H284" s="4" t="n"/>
      <c r="I284" s="4" t="n"/>
      <c r="J284" s="4" t="n"/>
      <c r="K284" s="4" t="n"/>
      <c r="L284" s="4" t="n"/>
      <c r="M284" s="4" t="n"/>
      <c r="N284" s="4" t="n"/>
      <c r="O284" s="4" t="n"/>
    </row>
    <row r="285">
      <c r="A285" s="4" t="n"/>
      <c r="B285" s="4" t="n"/>
      <c r="C285" s="4" t="n"/>
      <c r="D285" s="4" t="n"/>
      <c r="E285" s="4" t="n"/>
      <c r="F285" s="4" t="n"/>
      <c r="G285" s="4" t="n"/>
      <c r="H285" s="4" t="n"/>
      <c r="I285" s="4" t="n"/>
      <c r="J285" s="4" t="n"/>
      <c r="K285" s="4" t="n"/>
      <c r="L285" s="4" t="n"/>
      <c r="M285" s="4" t="n"/>
      <c r="N285" s="4" t="n"/>
      <c r="O285" s="4" t="n"/>
    </row>
    <row r="286">
      <c r="A286" s="4" t="n"/>
      <c r="B286" s="4" t="n"/>
      <c r="C286" s="4" t="n"/>
      <c r="D286" s="4" t="n"/>
      <c r="E286" s="4" t="n"/>
      <c r="F286" s="4" t="n"/>
      <c r="G286" s="4" t="n"/>
      <c r="H286" s="4" t="n"/>
      <c r="I286" s="4" t="n"/>
      <c r="J286" s="4" t="n"/>
      <c r="K286" s="4" t="n"/>
      <c r="L286" s="4" t="n"/>
      <c r="M286" s="4" t="n"/>
      <c r="N286" s="4" t="n"/>
      <c r="O286" s="4" t="n"/>
    </row>
    <row r="287">
      <c r="A287" s="4" t="n"/>
      <c r="B287" s="4" t="n"/>
      <c r="C287" s="4" t="n"/>
      <c r="D287" s="4" t="n"/>
      <c r="E287" s="4" t="n"/>
      <c r="F287" s="4" t="n"/>
      <c r="G287" s="4" t="n"/>
      <c r="H287" s="4" t="n"/>
      <c r="I287" s="4" t="n"/>
      <c r="J287" s="4" t="n"/>
      <c r="K287" s="4" t="n"/>
      <c r="L287" s="4" t="n"/>
      <c r="M287" s="4" t="n"/>
      <c r="N287" s="4" t="n"/>
      <c r="O287" s="4" t="n"/>
    </row>
    <row r="288">
      <c r="A288" s="4" t="n"/>
      <c r="B288" s="4" t="n"/>
      <c r="C288" s="4" t="n"/>
      <c r="D288" s="4" t="n"/>
      <c r="E288" s="4" t="n"/>
      <c r="F288" s="4" t="n"/>
      <c r="G288" s="4" t="n"/>
      <c r="H288" s="4" t="n"/>
      <c r="I288" s="4" t="n"/>
      <c r="J288" s="4" t="n"/>
      <c r="K288" s="4" t="n"/>
      <c r="L288" s="4" t="n"/>
      <c r="M288" s="4" t="n"/>
      <c r="N288" s="4" t="n"/>
      <c r="O288" s="4" t="n"/>
    </row>
    <row r="289">
      <c r="A289" s="4" t="n"/>
      <c r="B289" s="4" t="n"/>
      <c r="C289" s="4" t="n"/>
      <c r="D289" s="4" t="n"/>
      <c r="E289" s="4" t="n"/>
      <c r="F289" s="4" t="n"/>
      <c r="G289" s="4" t="n"/>
      <c r="H289" s="4" t="n"/>
      <c r="I289" s="4" t="n"/>
      <c r="J289" s="4" t="n"/>
      <c r="K289" s="4" t="n"/>
      <c r="L289" s="4" t="n"/>
      <c r="M289" s="4" t="n"/>
      <c r="N289" s="4" t="n"/>
      <c r="O289" s="4" t="n"/>
    </row>
    <row r="290">
      <c r="A290" s="4" t="n"/>
      <c r="B290" s="4" t="n"/>
      <c r="C290" s="4" t="n"/>
      <c r="D290" s="4" t="n"/>
      <c r="E290" s="4" t="n"/>
      <c r="F290" s="4" t="n"/>
      <c r="G290" s="4" t="n"/>
      <c r="H290" s="4" t="n"/>
      <c r="I290" s="4" t="n"/>
      <c r="J290" s="4" t="n"/>
      <c r="K290" s="4" t="n"/>
      <c r="L290" s="4" t="n"/>
      <c r="M290" s="4" t="n"/>
      <c r="N290" s="4" t="n"/>
      <c r="O290" s="4" t="n"/>
    </row>
    <row r="291">
      <c r="A291" s="4" t="n"/>
      <c r="B291" s="4" t="n"/>
      <c r="C291" s="4" t="n"/>
      <c r="D291" s="4" t="n"/>
      <c r="E291" s="4" t="n"/>
      <c r="F291" s="4" t="n"/>
      <c r="G291" s="4" t="n"/>
      <c r="H291" s="4" t="n"/>
      <c r="I291" s="4" t="n"/>
      <c r="J291" s="4" t="n"/>
      <c r="K291" s="4" t="n"/>
      <c r="L291" s="4" t="n"/>
      <c r="M291" s="4" t="n"/>
      <c r="N291" s="4" t="n"/>
      <c r="O291" s="4" t="n"/>
    </row>
    <row r="292">
      <c r="A292" s="4" t="n"/>
      <c r="B292" s="4" t="n"/>
      <c r="C292" s="4" t="n"/>
      <c r="D292" s="4" t="n"/>
      <c r="E292" s="4" t="n"/>
      <c r="F292" s="4" t="n"/>
      <c r="G292" s="4" t="n"/>
      <c r="H292" s="4" t="n"/>
      <c r="I292" s="4" t="n"/>
      <c r="J292" s="4" t="n"/>
      <c r="K292" s="4" t="n"/>
      <c r="L292" s="4" t="n"/>
      <c r="M292" s="4" t="n"/>
      <c r="N292" s="4" t="n"/>
      <c r="O292" s="4" t="n"/>
    </row>
    <row r="293">
      <c r="A293" s="4" t="n"/>
      <c r="B293" s="4" t="n"/>
      <c r="C293" s="4" t="n"/>
      <c r="D293" s="4" t="n"/>
      <c r="E293" s="4" t="n"/>
      <c r="F293" s="4" t="n"/>
      <c r="G293" s="4" t="n"/>
      <c r="H293" s="4" t="n"/>
      <c r="I293" s="4" t="n"/>
      <c r="J293" s="4" t="n"/>
      <c r="K293" s="4" t="n"/>
      <c r="L293" s="4" t="n"/>
      <c r="M293" s="4" t="n"/>
      <c r="N293" s="4" t="n"/>
      <c r="O293" s="4" t="n"/>
    </row>
    <row r="294">
      <c r="A294" s="4" t="n"/>
      <c r="B294" s="4" t="n"/>
      <c r="C294" s="4" t="n"/>
      <c r="D294" s="4" t="n"/>
      <c r="E294" s="4" t="n"/>
      <c r="F294" s="4" t="n"/>
      <c r="G294" s="4" t="n"/>
      <c r="H294" s="4" t="n"/>
      <c r="I294" s="4" t="n"/>
      <c r="J294" s="4" t="n"/>
      <c r="K294" s="4" t="n"/>
      <c r="L294" s="4" t="n"/>
      <c r="M294" s="4" t="n"/>
      <c r="N294" s="4" t="n"/>
      <c r="O294" s="4" t="n"/>
    </row>
    <row r="295">
      <c r="A295" s="4" t="n"/>
      <c r="B295" s="4" t="n"/>
      <c r="C295" s="4" t="n"/>
      <c r="D295" s="4" t="n"/>
      <c r="E295" s="4" t="n"/>
      <c r="F295" s="4" t="n"/>
      <c r="G295" s="4" t="n"/>
      <c r="H295" s="4" t="n"/>
      <c r="I295" s="4" t="n"/>
      <c r="J295" s="4" t="n"/>
      <c r="K295" s="4" t="n"/>
      <c r="L295" s="4" t="n"/>
      <c r="M295" s="4" t="n"/>
      <c r="N295" s="4" t="n"/>
      <c r="O295" s="4" t="n"/>
    </row>
    <row r="296">
      <c r="A296" s="4" t="n"/>
      <c r="B296" s="4" t="n"/>
      <c r="C296" s="4" t="n"/>
      <c r="D296" s="4" t="n"/>
      <c r="E296" s="4" t="n"/>
      <c r="F296" s="4" t="n"/>
      <c r="G296" s="4" t="n"/>
      <c r="H296" s="4" t="n"/>
      <c r="I296" s="4" t="n"/>
      <c r="J296" s="4" t="n"/>
      <c r="K296" s="4" t="n"/>
      <c r="L296" s="4" t="n"/>
      <c r="M296" s="4" t="n"/>
      <c r="N296" s="4" t="n"/>
      <c r="O296" s="4" t="n"/>
    </row>
    <row r="297">
      <c r="A297" s="4" t="n"/>
      <c r="B297" s="4" t="n"/>
      <c r="C297" s="4" t="n"/>
      <c r="D297" s="4" t="n"/>
      <c r="E297" s="4" t="n"/>
      <c r="F297" s="4" t="n"/>
      <c r="G297" s="4" t="n"/>
      <c r="H297" s="4" t="n"/>
      <c r="I297" s="4" t="n"/>
      <c r="J297" s="4" t="n"/>
      <c r="K297" s="4" t="n"/>
      <c r="L297" s="4" t="n"/>
      <c r="M297" s="4" t="n"/>
      <c r="N297" s="4" t="n"/>
      <c r="O297" s="4" t="n"/>
    </row>
    <row r="298">
      <c r="A298" s="4" t="n"/>
      <c r="B298" s="4" t="n"/>
      <c r="C298" s="4" t="n"/>
      <c r="D298" s="4" t="n"/>
      <c r="E298" s="4" t="n"/>
      <c r="F298" s="4" t="n"/>
      <c r="G298" s="4" t="n"/>
      <c r="H298" s="4" t="n"/>
      <c r="I298" s="4" t="n"/>
      <c r="J298" s="4" t="n"/>
      <c r="K298" s="4" t="n"/>
      <c r="L298" s="4" t="n"/>
      <c r="M298" s="4" t="n"/>
      <c r="N298" s="4" t="n"/>
      <c r="O298" s="4" t="n"/>
    </row>
    <row r="299">
      <c r="A299" s="4" t="n"/>
      <c r="B299" s="4" t="n"/>
      <c r="C299" s="4" t="n"/>
      <c r="D299" s="4" t="n"/>
      <c r="E299" s="4" t="n"/>
      <c r="F299" s="4" t="n"/>
      <c r="G299" s="4" t="n"/>
      <c r="H299" s="4" t="n"/>
      <c r="I299" s="4" t="n"/>
      <c r="J299" s="4" t="n"/>
      <c r="K299" s="4" t="n"/>
      <c r="L299" s="4" t="n"/>
      <c r="M299" s="4" t="n"/>
      <c r="N299" s="4" t="n"/>
      <c r="O299" s="4" t="n"/>
    </row>
    <row r="300">
      <c r="A300" s="4" t="n"/>
      <c r="B300" s="4" t="n"/>
      <c r="C300" s="4" t="n"/>
      <c r="D300" s="4" t="n"/>
      <c r="E300" s="4" t="n"/>
      <c r="F300" s="4" t="n"/>
      <c r="G300" s="4" t="n"/>
      <c r="H300" s="4" t="n"/>
      <c r="I300" s="4" t="n"/>
      <c r="J300" s="4" t="n"/>
      <c r="K300" s="4" t="n"/>
      <c r="L300" s="4" t="n"/>
      <c r="M300" s="4" t="n"/>
      <c r="N300" s="4" t="n"/>
      <c r="O300" s="4" t="n"/>
    </row>
    <row r="301">
      <c r="A301" s="4" t="n"/>
      <c r="B301" s="4" t="n"/>
      <c r="C301" s="4" t="n"/>
      <c r="D301" s="4" t="n"/>
      <c r="E301" s="4" t="n"/>
      <c r="F301" s="4" t="n"/>
      <c r="G301" s="4" t="n"/>
      <c r="H301" s="4" t="n"/>
      <c r="I301" s="4" t="n"/>
      <c r="J301" s="4" t="n"/>
      <c r="K301" s="4" t="n"/>
      <c r="L301" s="4" t="n"/>
      <c r="M301" s="4" t="n"/>
      <c r="N301" s="4" t="n"/>
      <c r="O301" s="4" t="n"/>
    </row>
    <row r="302">
      <c r="A302" s="4" t="n"/>
      <c r="B302" s="4" t="n"/>
      <c r="C302" s="4" t="n"/>
      <c r="D302" s="4" t="n"/>
      <c r="E302" s="4" t="n"/>
      <c r="F302" s="4" t="n"/>
      <c r="G302" s="4" t="n"/>
      <c r="H302" s="4" t="n"/>
      <c r="I302" s="4" t="n"/>
      <c r="J302" s="4" t="n"/>
      <c r="K302" s="4" t="n"/>
      <c r="L302" s="4" t="n"/>
      <c r="M302" s="4" t="n"/>
      <c r="N302" s="4" t="n"/>
      <c r="O302" s="4" t="n"/>
    </row>
    <row r="303">
      <c r="A303" s="4" t="n"/>
      <c r="B303" s="4" t="n"/>
      <c r="C303" s="4" t="n"/>
      <c r="D303" s="4" t="n"/>
      <c r="E303" s="4" t="n"/>
      <c r="F303" s="4" t="n"/>
      <c r="G303" s="4" t="n"/>
      <c r="H303" s="4" t="n"/>
      <c r="I303" s="4" t="n"/>
      <c r="J303" s="4" t="n"/>
      <c r="K303" s="4" t="n"/>
      <c r="L303" s="4" t="n"/>
      <c r="M303" s="4" t="n"/>
      <c r="N303" s="4" t="n"/>
      <c r="O303" s="4" t="n"/>
    </row>
    <row r="304">
      <c r="A304" s="4" t="n"/>
      <c r="B304" s="4" t="n"/>
      <c r="C304" s="4" t="n"/>
      <c r="D304" s="4" t="n"/>
      <c r="E304" s="4" t="n"/>
      <c r="F304" s="4" t="n"/>
      <c r="G304" s="4" t="n"/>
      <c r="H304" s="4" t="n"/>
      <c r="I304" s="4" t="n"/>
      <c r="J304" s="4" t="n"/>
      <c r="K304" s="4" t="n"/>
      <c r="L304" s="4" t="n"/>
      <c r="M304" s="4" t="n"/>
      <c r="N304" s="4" t="n"/>
      <c r="O304" s="4" t="n"/>
    </row>
    <row r="305">
      <c r="A305" s="4" t="n"/>
      <c r="B305" s="4" t="n"/>
      <c r="C305" s="4" t="n"/>
      <c r="D305" s="4" t="n"/>
      <c r="E305" s="4" t="n"/>
      <c r="F305" s="4" t="n"/>
      <c r="G305" s="4" t="n"/>
      <c r="H305" s="4" t="n"/>
      <c r="I305" s="4" t="n"/>
      <c r="J305" s="4" t="n"/>
      <c r="K305" s="4" t="n"/>
      <c r="L305" s="4" t="n"/>
      <c r="M305" s="4" t="n"/>
      <c r="N305" s="4" t="n"/>
      <c r="O305" s="4" t="n"/>
    </row>
    <row r="306">
      <c r="A306" s="4" t="n"/>
      <c r="B306" s="4" t="n"/>
      <c r="C306" s="4" t="n"/>
      <c r="D306" s="4" t="n"/>
      <c r="E306" s="4" t="n"/>
      <c r="F306" s="4" t="n"/>
      <c r="G306" s="4" t="n"/>
      <c r="H306" s="4" t="n"/>
      <c r="I306" s="4" t="n"/>
      <c r="J306" s="4" t="n"/>
      <c r="K306" s="4" t="n"/>
      <c r="L306" s="4" t="n"/>
      <c r="M306" s="4" t="n"/>
      <c r="N306" s="4" t="n"/>
      <c r="O306" s="4" t="n"/>
    </row>
    <row r="307">
      <c r="A307" s="4" t="n"/>
      <c r="B307" s="4" t="n"/>
      <c r="C307" s="4" t="n"/>
      <c r="D307" s="4" t="n"/>
      <c r="E307" s="4" t="n"/>
      <c r="F307" s="4" t="n"/>
      <c r="G307" s="4" t="n"/>
      <c r="H307" s="4" t="n"/>
      <c r="I307" s="4" t="n"/>
      <c r="J307" s="4" t="n"/>
      <c r="K307" s="4" t="n"/>
      <c r="L307" s="4" t="n"/>
      <c r="M307" s="4" t="n"/>
      <c r="N307" s="4" t="n"/>
      <c r="O307" s="4" t="n"/>
    </row>
    <row r="308">
      <c r="A308" s="4" t="n"/>
      <c r="B308" s="4" t="n"/>
      <c r="C308" s="4" t="n"/>
      <c r="D308" s="4" t="n"/>
      <c r="E308" s="4" t="n"/>
      <c r="F308" s="4" t="n"/>
      <c r="G308" s="4" t="n"/>
      <c r="H308" s="4" t="n"/>
      <c r="I308" s="4" t="n"/>
      <c r="J308" s="4" t="n"/>
      <c r="K308" s="4" t="n"/>
      <c r="L308" s="4" t="n"/>
      <c r="M308" s="4" t="n"/>
      <c r="N308" s="4" t="n"/>
      <c r="O308" s="4" t="n"/>
    </row>
    <row r="309">
      <c r="A309" s="4" t="n"/>
      <c r="B309" s="4" t="n"/>
      <c r="C309" s="4" t="n"/>
      <c r="D309" s="4" t="n"/>
      <c r="E309" s="4" t="n"/>
      <c r="F309" s="4" t="n"/>
      <c r="G309" s="4" t="n"/>
      <c r="H309" s="4" t="n"/>
      <c r="I309" s="4" t="n"/>
      <c r="J309" s="4" t="n"/>
      <c r="K309" s="4" t="n"/>
      <c r="L309" s="4" t="n"/>
      <c r="M309" s="4" t="n"/>
      <c r="N309" s="4" t="n"/>
      <c r="O309" s="4" t="n"/>
    </row>
    <row r="310">
      <c r="A310" s="4" t="n"/>
      <c r="B310" s="4" t="n"/>
      <c r="C310" s="4" t="n"/>
      <c r="D310" s="4" t="n"/>
      <c r="E310" s="4" t="n"/>
      <c r="F310" s="4" t="n"/>
      <c r="G310" s="4" t="n"/>
      <c r="H310" s="4" t="n"/>
      <c r="I310" s="4" t="n"/>
      <c r="J310" s="4" t="n"/>
      <c r="K310" s="4" t="n"/>
      <c r="L310" s="4" t="n"/>
      <c r="M310" s="4" t="n"/>
      <c r="N310" s="4" t="n"/>
      <c r="O310" s="4" t="n"/>
    </row>
    <row r="311">
      <c r="A311" s="4" t="n"/>
      <c r="B311" s="4" t="n"/>
      <c r="C311" s="4" t="n"/>
      <c r="D311" s="4" t="n"/>
      <c r="E311" s="4" t="n"/>
      <c r="F311" s="4" t="n"/>
      <c r="G311" s="4" t="n"/>
      <c r="H311" s="4" t="n"/>
      <c r="I311" s="4" t="n"/>
      <c r="J311" s="4" t="n"/>
      <c r="K311" s="4" t="n"/>
      <c r="L311" s="4" t="n"/>
      <c r="M311" s="4" t="n"/>
      <c r="N311" s="4" t="n"/>
      <c r="O311" s="4" t="n"/>
    </row>
    <row r="312">
      <c r="A312" s="4" t="n"/>
      <c r="B312" s="4" t="n"/>
      <c r="C312" s="4" t="n"/>
      <c r="D312" s="4" t="n"/>
      <c r="E312" s="4" t="n"/>
      <c r="F312" s="4" t="n"/>
      <c r="G312" s="4" t="n"/>
      <c r="H312" s="4" t="n"/>
      <c r="I312" s="4" t="n"/>
      <c r="J312" s="4" t="n"/>
      <c r="K312" s="4" t="n"/>
      <c r="L312" s="4" t="n"/>
      <c r="M312" s="4" t="n"/>
      <c r="N312" s="4" t="n"/>
      <c r="O312" s="4" t="n"/>
    </row>
    <row r="313">
      <c r="A313" s="4" t="n"/>
      <c r="B313" s="4" t="n"/>
      <c r="C313" s="4" t="n"/>
      <c r="D313" s="4" t="n"/>
      <c r="E313" s="4" t="n"/>
      <c r="F313" s="4" t="n"/>
      <c r="G313" s="4" t="n"/>
      <c r="H313" s="4" t="n"/>
      <c r="I313" s="4" t="n"/>
      <c r="J313" s="4" t="n"/>
      <c r="K313" s="4" t="n"/>
      <c r="L313" s="4" t="n"/>
      <c r="M313" s="4" t="n"/>
      <c r="N313" s="4" t="n"/>
      <c r="O313" s="4" t="n"/>
    </row>
    <row r="314">
      <c r="A314" s="4" t="n"/>
      <c r="B314" s="4" t="n"/>
      <c r="C314" s="4" t="n"/>
      <c r="D314" s="4" t="n"/>
      <c r="E314" s="4" t="n"/>
      <c r="F314" s="4" t="n"/>
      <c r="G314" s="4" t="n"/>
      <c r="H314" s="4" t="n"/>
      <c r="I314" s="4" t="n"/>
      <c r="J314" s="4" t="n"/>
      <c r="K314" s="4" t="n"/>
      <c r="L314" s="4" t="n"/>
      <c r="M314" s="4" t="n"/>
      <c r="N314" s="4" t="n"/>
      <c r="O314" s="4" t="n"/>
    </row>
    <row r="315">
      <c r="A315" s="4" t="n"/>
      <c r="B315" s="4" t="n"/>
      <c r="C315" s="4" t="n"/>
      <c r="D315" s="4" t="n"/>
      <c r="E315" s="4" t="n"/>
      <c r="F315" s="4" t="n"/>
      <c r="G315" s="4" t="n"/>
      <c r="H315" s="4" t="n"/>
      <c r="I315" s="4" t="n"/>
      <c r="J315" s="4" t="n"/>
      <c r="K315" s="4" t="n"/>
      <c r="L315" s="4" t="n"/>
      <c r="M315" s="4" t="n"/>
      <c r="N315" s="4" t="n"/>
      <c r="O315" s="4" t="n"/>
    </row>
    <row r="316">
      <c r="A316" s="4" t="n"/>
      <c r="B316" s="4" t="n"/>
      <c r="C316" s="4" t="n"/>
      <c r="D316" s="4" t="n"/>
      <c r="E316" s="4" t="n"/>
      <c r="F316" s="4" t="n"/>
      <c r="G316" s="4" t="n"/>
      <c r="H316" s="4" t="n"/>
      <c r="I316" s="4" t="n"/>
      <c r="J316" s="4" t="n"/>
      <c r="K316" s="4" t="n"/>
      <c r="L316" s="4" t="n"/>
      <c r="M316" s="4" t="n"/>
      <c r="N316" s="4" t="n"/>
      <c r="O316" s="4" t="n"/>
    </row>
    <row r="317">
      <c r="A317" s="4" t="n"/>
      <c r="B317" s="4" t="n"/>
      <c r="C317" s="4" t="n"/>
      <c r="D317" s="4" t="n"/>
      <c r="E317" s="4" t="n"/>
      <c r="F317" s="4" t="n"/>
      <c r="G317" s="4" t="n"/>
      <c r="H317" s="4" t="n"/>
      <c r="I317" s="4" t="n"/>
      <c r="J317" s="4" t="n"/>
      <c r="K317" s="4" t="n"/>
      <c r="L317" s="4" t="n"/>
      <c r="M317" s="4" t="n"/>
      <c r="N317" s="4" t="n"/>
      <c r="O317" s="4" t="n"/>
    </row>
    <row r="318">
      <c r="A318" s="4" t="n"/>
      <c r="B318" s="4" t="n"/>
      <c r="C318" s="4" t="n"/>
      <c r="D318" s="4" t="n"/>
      <c r="E318" s="4" t="n"/>
      <c r="F318" s="4" t="n"/>
      <c r="G318" s="4" t="n"/>
      <c r="H318" s="4" t="n"/>
      <c r="I318" s="4" t="n"/>
      <c r="J318" s="4" t="n"/>
      <c r="K318" s="4" t="n"/>
      <c r="L318" s="4" t="n"/>
      <c r="M318" s="4" t="n"/>
      <c r="N318" s="4" t="n"/>
      <c r="O318" s="4" t="n"/>
    </row>
    <row r="319">
      <c r="A319" s="4" t="n"/>
      <c r="B319" s="4" t="n"/>
      <c r="C319" s="4" t="n"/>
      <c r="D319" s="4" t="n"/>
      <c r="E319" s="4" t="n"/>
      <c r="F319" s="4" t="n"/>
      <c r="G319" s="4" t="n"/>
      <c r="H319" s="4" t="n"/>
      <c r="I319" s="4" t="n"/>
      <c r="J319" s="4" t="n"/>
      <c r="K319" s="4" t="n"/>
      <c r="L319" s="4" t="n"/>
      <c r="M319" s="4" t="n"/>
      <c r="N319" s="4" t="n"/>
      <c r="O319" s="4" t="n"/>
    </row>
    <row r="320">
      <c r="A320" s="4" t="n"/>
      <c r="B320" s="4" t="n"/>
      <c r="C320" s="4" t="n"/>
      <c r="D320" s="4" t="n"/>
      <c r="E320" s="4" t="n"/>
      <c r="F320" s="4" t="n"/>
      <c r="G320" s="4" t="n"/>
      <c r="H320" s="4" t="n"/>
      <c r="I320" s="4" t="n"/>
      <c r="J320" s="4" t="n"/>
      <c r="K320" s="4" t="n"/>
      <c r="L320" s="4" t="n"/>
      <c r="M320" s="4" t="n"/>
      <c r="N320" s="4" t="n"/>
      <c r="O320" s="4" t="n"/>
    </row>
    <row r="321">
      <c r="A321" s="4" t="n"/>
      <c r="B321" s="4" t="n"/>
      <c r="C321" s="4" t="n"/>
      <c r="D321" s="4" t="n"/>
      <c r="E321" s="4" t="n"/>
      <c r="F321" s="4" t="n"/>
      <c r="G321" s="4" t="n"/>
      <c r="H321" s="4" t="n"/>
      <c r="I321" s="4" t="n"/>
      <c r="J321" s="4" t="n"/>
      <c r="K321" s="4" t="n"/>
      <c r="L321" s="4" t="n"/>
      <c r="M321" s="4" t="n"/>
      <c r="N321" s="4" t="n"/>
      <c r="O321" s="4" t="n"/>
    </row>
    <row r="322">
      <c r="A322" s="4" t="n"/>
      <c r="B322" s="4" t="n"/>
      <c r="C322" s="4" t="n"/>
      <c r="D322" s="4" t="n"/>
      <c r="E322" s="4" t="n"/>
      <c r="F322" s="4" t="n"/>
      <c r="G322" s="4" t="n"/>
      <c r="H322" s="4" t="n"/>
      <c r="I322" s="4" t="n"/>
      <c r="J322" s="4" t="n"/>
      <c r="K322" s="4" t="n"/>
      <c r="L322" s="4" t="n"/>
      <c r="M322" s="4" t="n"/>
      <c r="N322" s="4" t="n"/>
      <c r="O322" s="4" t="n"/>
    </row>
    <row r="323">
      <c r="A323" s="4" t="n"/>
      <c r="B323" s="4" t="n"/>
      <c r="C323" s="4" t="n"/>
      <c r="D323" s="4" t="n"/>
      <c r="E323" s="4" t="n"/>
      <c r="F323" s="4" t="n"/>
      <c r="G323" s="4" t="n"/>
      <c r="H323" s="4" t="n"/>
      <c r="I323" s="4" t="n"/>
      <c r="J323" s="4" t="n"/>
      <c r="K323" s="4" t="n"/>
      <c r="L323" s="4" t="n"/>
      <c r="M323" s="4" t="n"/>
      <c r="N323" s="4" t="n"/>
      <c r="O323" s="4" t="n"/>
    </row>
    <row r="324">
      <c r="A324" s="4" t="n"/>
      <c r="B324" s="4" t="n"/>
      <c r="C324" s="4" t="n"/>
      <c r="D324" s="4" t="n"/>
      <c r="E324" s="4" t="n"/>
      <c r="F324" s="4" t="n"/>
      <c r="G324" s="4" t="n"/>
      <c r="H324" s="4" t="n"/>
      <c r="I324" s="4" t="n"/>
      <c r="J324" s="4" t="n"/>
      <c r="K324" s="4" t="n"/>
      <c r="L324" s="4" t="n"/>
      <c r="M324" s="4" t="n"/>
      <c r="N324" s="4" t="n"/>
      <c r="O324" s="4" t="n"/>
    </row>
    <row r="325">
      <c r="A325" s="4" t="n"/>
      <c r="B325" s="4" t="n"/>
      <c r="C325" s="4" t="n"/>
      <c r="D325" s="4" t="n"/>
      <c r="E325" s="4" t="n"/>
      <c r="F325" s="4" t="n"/>
      <c r="G325" s="4" t="n"/>
      <c r="H325" s="4" t="n"/>
      <c r="I325" s="4" t="n"/>
      <c r="J325" s="4" t="n"/>
      <c r="K325" s="4" t="n"/>
      <c r="L325" s="4" t="n"/>
      <c r="M325" s="4" t="n"/>
      <c r="N325" s="4" t="n"/>
      <c r="O325" s="4" t="n"/>
    </row>
    <row r="326">
      <c r="A326" s="4" t="n"/>
      <c r="B326" s="4" t="n"/>
      <c r="C326" s="4" t="n"/>
      <c r="D326" s="4" t="n"/>
      <c r="E326" s="4" t="n"/>
      <c r="F326" s="4" t="n"/>
      <c r="G326" s="4" t="n"/>
      <c r="H326" s="4" t="n"/>
      <c r="I326" s="4" t="n"/>
      <c r="J326" s="4" t="n"/>
      <c r="K326" s="4" t="n"/>
      <c r="L326" s="4" t="n"/>
      <c r="M326" s="4" t="n"/>
      <c r="N326" s="4" t="n"/>
      <c r="O326" s="4" t="n"/>
    </row>
    <row r="327">
      <c r="A327" s="4" t="n"/>
      <c r="B327" s="4" t="n"/>
      <c r="C327" s="4" t="n"/>
      <c r="D327" s="4" t="n"/>
      <c r="E327" s="4" t="n"/>
      <c r="F327" s="4" t="n"/>
      <c r="G327" s="4" t="n"/>
      <c r="H327" s="4" t="n"/>
      <c r="I327" s="4" t="n"/>
      <c r="J327" s="4" t="n"/>
      <c r="K327" s="4" t="n"/>
      <c r="L327" s="4" t="n"/>
      <c r="M327" s="4" t="n"/>
      <c r="N327" s="4" t="n"/>
      <c r="O327" s="4" t="n"/>
    </row>
    <row r="328">
      <c r="A328" s="4" t="n"/>
      <c r="B328" s="4" t="n"/>
      <c r="C328" s="4" t="n"/>
      <c r="D328" s="4" t="n"/>
      <c r="E328" s="4" t="n"/>
      <c r="F328" s="4" t="n"/>
      <c r="G328" s="4" t="n"/>
      <c r="H328" s="4" t="n"/>
      <c r="I328" s="4" t="n"/>
      <c r="J328" s="4" t="n"/>
      <c r="K328" s="4" t="n"/>
      <c r="L328" s="4" t="n"/>
      <c r="M328" s="4" t="n"/>
      <c r="N328" s="4" t="n"/>
      <c r="O328" s="4" t="n"/>
    </row>
    <row r="329">
      <c r="A329" s="4" t="n"/>
      <c r="B329" s="4" t="n"/>
      <c r="C329" s="4" t="n"/>
      <c r="D329" s="4" t="n"/>
      <c r="E329" s="4" t="n"/>
      <c r="F329" s="4" t="n"/>
      <c r="G329" s="4" t="n"/>
      <c r="H329" s="4" t="n"/>
      <c r="I329" s="4" t="n"/>
      <c r="J329" s="4" t="n"/>
      <c r="K329" s="4" t="n"/>
      <c r="L329" s="4" t="n"/>
      <c r="M329" s="4" t="n"/>
      <c r="N329" s="4" t="n"/>
      <c r="O329" s="4" t="n"/>
    </row>
    <row r="330">
      <c r="A330" s="4" t="n"/>
      <c r="B330" s="4" t="n"/>
      <c r="C330" s="4" t="n"/>
      <c r="D330" s="4" t="n"/>
      <c r="E330" s="4" t="n"/>
      <c r="F330" s="4" t="n"/>
      <c r="G330" s="4" t="n"/>
      <c r="H330" s="4" t="n"/>
      <c r="I330" s="4" t="n"/>
      <c r="J330" s="4" t="n"/>
      <c r="K330" s="4" t="n"/>
      <c r="L330" s="4" t="n"/>
      <c r="M330" s="4" t="n"/>
      <c r="N330" s="4" t="n"/>
      <c r="O330" s="4" t="n"/>
    </row>
    <row r="331">
      <c r="A331" s="4" t="n"/>
      <c r="B331" s="4" t="n"/>
      <c r="C331" s="4" t="n"/>
      <c r="D331" s="4" t="n"/>
      <c r="E331" s="4" t="n"/>
      <c r="F331" s="4" t="n"/>
      <c r="G331" s="4" t="n"/>
      <c r="H331" s="4" t="n"/>
      <c r="I331" s="4" t="n"/>
      <c r="J331" s="4" t="n"/>
      <c r="K331" s="4" t="n"/>
      <c r="L331" s="4" t="n"/>
      <c r="M331" s="4" t="n"/>
      <c r="N331" s="4" t="n"/>
      <c r="O331" s="4" t="n"/>
    </row>
    <row r="332">
      <c r="A332" s="4" t="n"/>
      <c r="B332" s="4" t="n"/>
      <c r="C332" s="4" t="n"/>
      <c r="D332" s="4" t="n"/>
      <c r="E332" s="4" t="n"/>
      <c r="F332" s="4" t="n"/>
      <c r="G332" s="4" t="n"/>
      <c r="H332" s="4" t="n"/>
      <c r="I332" s="4" t="n"/>
      <c r="J332" s="4" t="n"/>
      <c r="K332" s="4" t="n"/>
      <c r="L332" s="4" t="n"/>
      <c r="M332" s="4" t="n"/>
      <c r="N332" s="4" t="n"/>
      <c r="O332" s="4" t="n"/>
    </row>
    <row r="333">
      <c r="A333" s="4" t="n"/>
      <c r="B333" s="4" t="n"/>
      <c r="C333" s="4" t="n"/>
      <c r="D333" s="4" t="n"/>
      <c r="E333" s="4" t="n"/>
      <c r="F333" s="4" t="n"/>
      <c r="G333" s="4" t="n"/>
      <c r="H333" s="4" t="n"/>
      <c r="I333" s="4" t="n"/>
      <c r="J333" s="4" t="n"/>
      <c r="K333" s="4" t="n"/>
      <c r="L333" s="4" t="n"/>
      <c r="M333" s="4" t="n"/>
      <c r="N333" s="4" t="n"/>
      <c r="O333" s="4" t="n"/>
    </row>
    <row r="334">
      <c r="A334" s="4" t="n"/>
      <c r="B334" s="4" t="n"/>
      <c r="C334" s="4" t="n"/>
      <c r="D334" s="4" t="n"/>
      <c r="E334" s="4" t="n"/>
      <c r="F334" s="4" t="n"/>
      <c r="G334" s="4" t="n"/>
      <c r="H334" s="4" t="n"/>
      <c r="I334" s="4" t="n"/>
      <c r="J334" s="4" t="n"/>
      <c r="K334" s="4" t="n"/>
      <c r="L334" s="4" t="n"/>
      <c r="M334" s="4" t="n"/>
      <c r="N334" s="4" t="n"/>
      <c r="O334" s="4" t="n"/>
    </row>
    <row r="335">
      <c r="A335" s="4" t="n"/>
      <c r="B335" s="4" t="n"/>
      <c r="C335" s="4" t="n"/>
      <c r="D335" s="4" t="n"/>
      <c r="E335" s="4" t="n"/>
      <c r="F335" s="4" t="n"/>
      <c r="G335" s="4" t="n"/>
      <c r="H335" s="4" t="n"/>
      <c r="I335" s="4" t="n"/>
      <c r="J335" s="4" t="n"/>
      <c r="K335" s="4" t="n"/>
      <c r="L335" s="4" t="n"/>
      <c r="M335" s="4" t="n"/>
      <c r="N335" s="4" t="n"/>
      <c r="O335" s="4" t="n"/>
    </row>
    <row r="336">
      <c r="A336" s="4" t="n"/>
      <c r="B336" s="4" t="n"/>
      <c r="C336" s="4" t="n"/>
      <c r="D336" s="4" t="n"/>
      <c r="E336" s="4" t="n"/>
      <c r="F336" s="4" t="n"/>
      <c r="G336" s="4" t="n"/>
      <c r="H336" s="4" t="n"/>
      <c r="I336" s="4" t="n"/>
      <c r="J336" s="4" t="n"/>
      <c r="K336" s="4" t="n"/>
      <c r="L336" s="4" t="n"/>
      <c r="M336" s="4" t="n"/>
      <c r="N336" s="4" t="n"/>
      <c r="O336" s="4" t="n"/>
    </row>
    <row r="337">
      <c r="A337" s="4" t="n"/>
      <c r="B337" s="4" t="n"/>
      <c r="C337" s="4" t="n"/>
      <c r="D337" s="4" t="n"/>
      <c r="E337" s="4" t="n"/>
      <c r="F337" s="4" t="n"/>
      <c r="G337" s="4" t="n"/>
      <c r="H337" s="4" t="n"/>
      <c r="I337" s="4" t="n"/>
      <c r="J337" s="4" t="n"/>
      <c r="K337" s="4" t="n"/>
      <c r="L337" s="4" t="n"/>
      <c r="M337" s="4" t="n"/>
      <c r="N337" s="4" t="n"/>
      <c r="O337" s="4" t="n"/>
    </row>
    <row r="338">
      <c r="A338" s="4" t="n"/>
      <c r="B338" s="4" t="n"/>
      <c r="C338" s="4" t="n"/>
      <c r="D338" s="4" t="n"/>
      <c r="E338" s="4" t="n"/>
      <c r="F338" s="4" t="n"/>
      <c r="G338" s="4" t="n"/>
      <c r="H338" s="4" t="n"/>
      <c r="I338" s="4" t="n"/>
      <c r="J338" s="4" t="n"/>
      <c r="K338" s="4" t="n"/>
      <c r="L338" s="4" t="n"/>
      <c r="M338" s="4" t="n"/>
      <c r="N338" s="4" t="n"/>
      <c r="O338" s="4" t="n"/>
    </row>
    <row r="339">
      <c r="A339" s="4" t="n"/>
      <c r="B339" s="4" t="n"/>
      <c r="C339" s="4" t="n"/>
      <c r="D339" s="4" t="n"/>
      <c r="E339" s="4" t="n"/>
      <c r="F339" s="4" t="n"/>
      <c r="G339" s="4" t="n"/>
      <c r="H339" s="4" t="n"/>
      <c r="I339" s="4" t="n"/>
      <c r="J339" s="4" t="n"/>
      <c r="K339" s="4" t="n"/>
      <c r="L339" s="4" t="n"/>
      <c r="M339" s="4" t="n"/>
      <c r="N339" s="4" t="n"/>
      <c r="O339" s="4" t="n"/>
    </row>
    <row r="340">
      <c r="A340" s="4" t="n"/>
      <c r="B340" s="4" t="n"/>
      <c r="C340" s="4" t="n"/>
      <c r="D340" s="4" t="n"/>
      <c r="E340" s="4" t="n"/>
      <c r="F340" s="4" t="n"/>
      <c r="G340" s="4" t="n"/>
      <c r="H340" s="4" t="n"/>
      <c r="I340" s="4" t="n"/>
      <c r="J340" s="4" t="n"/>
      <c r="K340" s="4" t="n"/>
      <c r="L340" s="4" t="n"/>
      <c r="M340" s="4" t="n"/>
      <c r="N340" s="4" t="n"/>
      <c r="O340" s="4" t="n"/>
    </row>
    <row r="341">
      <c r="A341" s="4" t="n"/>
      <c r="B341" s="4" t="n"/>
      <c r="C341" s="4" t="n"/>
      <c r="D341" s="4" t="n"/>
      <c r="E341" s="4" t="n"/>
      <c r="F341" s="4" t="n"/>
      <c r="G341" s="4" t="n"/>
      <c r="H341" s="4" t="n"/>
      <c r="I341" s="4" t="n"/>
      <c r="J341" s="4" t="n"/>
      <c r="K341" s="4" t="n"/>
      <c r="L341" s="4" t="n"/>
      <c r="M341" s="4" t="n"/>
      <c r="N341" s="4" t="n"/>
      <c r="O341" s="4" t="n"/>
    </row>
    <row r="342">
      <c r="A342" s="4" t="n"/>
      <c r="B342" s="4" t="n"/>
      <c r="C342" s="4" t="n"/>
      <c r="D342" s="4" t="n"/>
      <c r="E342" s="4" t="n"/>
      <c r="F342" s="4" t="n"/>
      <c r="G342" s="4" t="n"/>
      <c r="H342" s="4" t="n"/>
      <c r="I342" s="4" t="n"/>
      <c r="J342" s="4" t="n"/>
      <c r="K342" s="4" t="n"/>
      <c r="L342" s="4" t="n"/>
      <c r="M342" s="4" t="n"/>
      <c r="N342" s="4" t="n"/>
      <c r="O342" s="4" t="n"/>
    </row>
    <row r="343">
      <c r="A343" s="4" t="n"/>
      <c r="B343" s="4" t="n"/>
      <c r="C343" s="4" t="n"/>
      <c r="D343" s="4" t="n"/>
      <c r="E343" s="4" t="n"/>
      <c r="F343" s="4" t="n"/>
      <c r="G343" s="4" t="n"/>
      <c r="H343" s="4" t="n"/>
      <c r="I343" s="4" t="n"/>
      <c r="J343" s="4" t="n"/>
      <c r="K343" s="4" t="n"/>
      <c r="L343" s="4" t="n"/>
      <c r="M343" s="4" t="n"/>
      <c r="N343" s="4" t="n"/>
      <c r="O343" s="4" t="n"/>
    </row>
    <row r="344">
      <c r="A344" s="4" t="n"/>
      <c r="B344" s="4" t="n"/>
      <c r="C344" s="4" t="n"/>
      <c r="D344" s="4" t="n"/>
      <c r="E344" s="4" t="n"/>
      <c r="F344" s="4" t="n"/>
      <c r="G344" s="4" t="n"/>
      <c r="H344" s="4" t="n"/>
      <c r="I344" s="4" t="n"/>
      <c r="J344" s="4" t="n"/>
      <c r="K344" s="4" t="n"/>
      <c r="L344" s="4" t="n"/>
      <c r="M344" s="4" t="n"/>
      <c r="N344" s="4" t="n"/>
      <c r="O344" s="4" t="n"/>
    </row>
    <row r="345">
      <c r="A345" s="4" t="n"/>
      <c r="B345" s="4" t="n"/>
      <c r="C345" s="4" t="n"/>
      <c r="D345" s="4" t="n"/>
      <c r="E345" s="4" t="n"/>
      <c r="F345" s="4" t="n"/>
      <c r="G345" s="4" t="n"/>
      <c r="H345" s="4" t="n"/>
      <c r="I345" s="4" t="n"/>
      <c r="J345" s="4" t="n"/>
      <c r="K345" s="4" t="n"/>
      <c r="L345" s="4" t="n"/>
      <c r="M345" s="4" t="n"/>
      <c r="N345" s="4" t="n"/>
      <c r="O345" s="4" t="n"/>
    </row>
    <row r="346">
      <c r="A346" s="4" t="n"/>
      <c r="B346" s="4" t="n"/>
      <c r="C346" s="4" t="n"/>
      <c r="D346" s="4" t="n"/>
      <c r="E346" s="4" t="n"/>
      <c r="F346" s="4" t="n"/>
      <c r="G346" s="4" t="n"/>
      <c r="H346" s="4" t="n"/>
      <c r="I346" s="4" t="n"/>
      <c r="J346" s="4" t="n"/>
      <c r="K346" s="4" t="n"/>
      <c r="L346" s="4" t="n"/>
      <c r="M346" s="4" t="n"/>
      <c r="N346" s="4" t="n"/>
      <c r="O346" s="4" t="n"/>
    </row>
    <row r="347">
      <c r="A347" s="4" t="n"/>
      <c r="B347" s="4" t="n"/>
      <c r="C347" s="4" t="n"/>
      <c r="D347" s="4" t="n"/>
      <c r="E347" s="4" t="n"/>
      <c r="F347" s="4" t="n"/>
      <c r="G347" s="4" t="n"/>
      <c r="H347" s="4" t="n"/>
      <c r="I347" s="4" t="n"/>
      <c r="J347" s="4" t="n"/>
      <c r="K347" s="4" t="n"/>
      <c r="L347" s="4" t="n"/>
      <c r="M347" s="4" t="n"/>
      <c r="N347" s="4" t="n"/>
      <c r="O347" s="4" t="n"/>
    </row>
    <row r="348">
      <c r="A348" s="4" t="n"/>
      <c r="B348" s="4" t="n"/>
      <c r="C348" s="4" t="n"/>
      <c r="D348" s="4" t="n"/>
      <c r="E348" s="4" t="n"/>
      <c r="F348" s="4" t="n"/>
      <c r="G348" s="4" t="n"/>
      <c r="H348" s="4" t="n"/>
      <c r="I348" s="4" t="n"/>
      <c r="J348" s="4" t="n"/>
      <c r="K348" s="4" t="n"/>
      <c r="L348" s="4" t="n"/>
      <c r="M348" s="4" t="n"/>
      <c r="N348" s="4" t="n"/>
      <c r="O348" s="4" t="n"/>
    </row>
    <row r="349">
      <c r="A349" s="4" t="n"/>
      <c r="B349" s="4" t="n"/>
      <c r="C349" s="4" t="n"/>
      <c r="D349" s="4" t="n"/>
      <c r="E349" s="4" t="n"/>
      <c r="F349" s="4" t="n"/>
      <c r="G349" s="4" t="n"/>
      <c r="H349" s="4" t="n"/>
      <c r="I349" s="4" t="n"/>
      <c r="J349" s="4" t="n"/>
      <c r="K349" s="4" t="n"/>
      <c r="L349" s="4" t="n"/>
      <c r="M349" s="4" t="n"/>
      <c r="N349" s="4" t="n"/>
      <c r="O349" s="4" t="n"/>
    </row>
    <row r="350">
      <c r="A350" s="4" t="n"/>
      <c r="B350" s="4" t="n"/>
      <c r="C350" s="4" t="n"/>
      <c r="D350" s="4" t="n"/>
      <c r="E350" s="4" t="n"/>
      <c r="F350" s="4" t="n"/>
      <c r="G350" s="4" t="n"/>
      <c r="H350" s="4" t="n"/>
      <c r="I350" s="4" t="n"/>
      <c r="J350" s="4" t="n"/>
      <c r="K350" s="4" t="n"/>
      <c r="L350" s="4" t="n"/>
      <c r="M350" s="4" t="n"/>
      <c r="N350" s="4" t="n"/>
      <c r="O350" s="4" t="n"/>
    </row>
    <row r="351">
      <c r="A351" s="4" t="n"/>
      <c r="B351" s="4" t="n"/>
      <c r="C351" s="4" t="n"/>
      <c r="D351" s="4" t="n"/>
      <c r="E351" s="4" t="n"/>
      <c r="F351" s="4" t="n"/>
      <c r="G351" s="4" t="n"/>
      <c r="H351" s="4" t="n"/>
      <c r="I351" s="4" t="n"/>
      <c r="J351" s="4" t="n"/>
      <c r="K351" s="4" t="n"/>
      <c r="L351" s="4" t="n"/>
      <c r="M351" s="4" t="n"/>
      <c r="N351" s="4" t="n"/>
      <c r="O351" s="4" t="n"/>
    </row>
    <row r="352">
      <c r="A352" s="4" t="n"/>
      <c r="B352" s="4" t="n"/>
      <c r="C352" s="4" t="n"/>
      <c r="D352" s="4" t="n"/>
      <c r="E352" s="4" t="n"/>
      <c r="F352" s="4" t="n"/>
      <c r="G352" s="4" t="n"/>
      <c r="H352" s="4" t="n"/>
      <c r="I352" s="4" t="n"/>
      <c r="J352" s="4" t="n"/>
      <c r="K352" s="4" t="n"/>
      <c r="L352" s="4" t="n"/>
      <c r="M352" s="4" t="n"/>
      <c r="N352" s="4" t="n"/>
      <c r="O352" s="4" t="n"/>
    </row>
    <row r="353">
      <c r="A353" s="4" t="n"/>
      <c r="B353" s="4" t="n"/>
      <c r="C353" s="4" t="n"/>
      <c r="D353" s="4" t="n"/>
      <c r="E353" s="4" t="n"/>
      <c r="F353" s="4" t="n"/>
      <c r="G353" s="4" t="n"/>
      <c r="H353" s="4" t="n"/>
      <c r="I353" s="4" t="n"/>
      <c r="J353" s="4" t="n"/>
      <c r="K353" s="4" t="n"/>
      <c r="L353" s="4" t="n"/>
      <c r="M353" s="4" t="n"/>
      <c r="N353" s="4" t="n"/>
      <c r="O353" s="4" t="n"/>
    </row>
    <row r="354">
      <c r="A354" s="4" t="n"/>
      <c r="B354" s="4" t="n"/>
      <c r="C354" s="4" t="n"/>
      <c r="D354" s="4" t="n"/>
      <c r="E354" s="4" t="n"/>
      <c r="F354" s="4" t="n"/>
      <c r="G354" s="4" t="n"/>
      <c r="H354" s="4" t="n"/>
      <c r="I354" s="4" t="n"/>
      <c r="J354" s="4" t="n"/>
      <c r="K354" s="4" t="n"/>
      <c r="L354" s="4" t="n"/>
      <c r="M354" s="4" t="n"/>
      <c r="N354" s="4" t="n"/>
      <c r="O354" s="4" t="n"/>
    </row>
    <row r="355">
      <c r="A355" s="4" t="n"/>
      <c r="B355" s="4" t="n"/>
      <c r="C355" s="4" t="n"/>
      <c r="D355" s="4" t="n"/>
      <c r="E355" s="4" t="n"/>
      <c r="F355" s="4" t="n"/>
      <c r="G355" s="4" t="n"/>
      <c r="H355" s="4" t="n"/>
      <c r="I355" s="4" t="n"/>
      <c r="J355" s="4" t="n"/>
      <c r="K355" s="4" t="n"/>
      <c r="L355" s="4" t="n"/>
      <c r="M355" s="4" t="n"/>
      <c r="N355" s="4" t="n"/>
      <c r="O355" s="4" t="n"/>
    </row>
    <row r="356">
      <c r="A356" s="4" t="n"/>
      <c r="B356" s="4" t="n"/>
      <c r="C356" s="4" t="n"/>
      <c r="D356" s="4" t="n"/>
      <c r="E356" s="4" t="n"/>
      <c r="F356" s="4" t="n"/>
      <c r="G356" s="4" t="n"/>
      <c r="H356" s="4" t="n"/>
      <c r="I356" s="4" t="n"/>
      <c r="J356" s="4" t="n"/>
      <c r="K356" s="4" t="n"/>
      <c r="L356" s="4" t="n"/>
      <c r="M356" s="4" t="n"/>
      <c r="N356" s="4" t="n"/>
      <c r="O356" s="4" t="n"/>
    </row>
    <row r="357">
      <c r="A357" s="4" t="n"/>
      <c r="B357" s="4" t="n"/>
      <c r="C357" s="4" t="n"/>
      <c r="D357" s="4" t="n"/>
      <c r="E357" s="4" t="n"/>
      <c r="F357" s="4" t="n"/>
      <c r="G357" s="4" t="n"/>
      <c r="H357" s="4" t="n"/>
      <c r="I357" s="4" t="n"/>
      <c r="J357" s="4" t="n"/>
      <c r="K357" s="4" t="n"/>
      <c r="L357" s="4" t="n"/>
      <c r="M357" s="4" t="n"/>
      <c r="N357" s="4" t="n"/>
      <c r="O357" s="4" t="n"/>
    </row>
    <row r="358">
      <c r="A358" s="4" t="n"/>
      <c r="B358" s="4" t="n"/>
      <c r="C358" s="4" t="n"/>
      <c r="D358" s="4" t="n"/>
      <c r="E358" s="4" t="n"/>
      <c r="F358" s="4" t="n"/>
      <c r="G358" s="4" t="n"/>
      <c r="H358" s="4" t="n"/>
      <c r="I358" s="4" t="n"/>
      <c r="J358" s="4" t="n"/>
      <c r="K358" s="4" t="n"/>
      <c r="L358" s="4" t="n"/>
      <c r="M358" s="4" t="n"/>
      <c r="N358" s="4" t="n"/>
      <c r="O358" s="4" t="n"/>
    </row>
    <row r="359">
      <c r="A359" s="4" t="n"/>
      <c r="B359" s="4" t="n"/>
      <c r="C359" s="4" t="n"/>
      <c r="D359" s="4" t="n"/>
      <c r="E359" s="4" t="n"/>
      <c r="F359" s="4" t="n"/>
      <c r="G359" s="4" t="n"/>
      <c r="H359" s="4" t="n"/>
      <c r="I359" s="4" t="n"/>
      <c r="J359" s="4" t="n"/>
      <c r="K359" s="4" t="n"/>
      <c r="L359" s="4" t="n"/>
      <c r="M359" s="4" t="n"/>
      <c r="N359" s="4" t="n"/>
      <c r="O359" s="4" t="n"/>
    </row>
    <row r="360">
      <c r="A360" s="4" t="n"/>
      <c r="B360" s="4" t="n"/>
      <c r="C360" s="4" t="n"/>
      <c r="D360" s="4" t="n"/>
      <c r="E360" s="4" t="n"/>
      <c r="F360" s="4" t="n"/>
      <c r="G360" s="4" t="n"/>
      <c r="H360" s="4" t="n"/>
      <c r="I360" s="4" t="n"/>
      <c r="J360" s="4" t="n"/>
      <c r="K360" s="4" t="n"/>
      <c r="L360" s="4" t="n"/>
      <c r="M360" s="4" t="n"/>
      <c r="N360" s="4" t="n"/>
      <c r="O360" s="4" t="n"/>
    </row>
    <row r="361">
      <c r="A361" s="4" t="n"/>
      <c r="B361" s="4" t="n"/>
      <c r="C361" s="4" t="n"/>
      <c r="D361" s="4" t="n"/>
      <c r="E361" s="4" t="n"/>
      <c r="F361" s="4" t="n"/>
      <c r="G361" s="4" t="n"/>
      <c r="H361" s="4" t="n"/>
      <c r="I361" s="4" t="n"/>
      <c r="J361" s="4" t="n"/>
      <c r="K361" s="4" t="n"/>
      <c r="L361" s="4" t="n"/>
      <c r="M361" s="4" t="n"/>
      <c r="N361" s="4" t="n"/>
      <c r="O361" s="4" t="n"/>
    </row>
    <row r="362">
      <c r="A362" s="4" t="n"/>
      <c r="B362" s="4" t="n"/>
      <c r="C362" s="4" t="n"/>
      <c r="D362" s="4" t="n"/>
      <c r="E362" s="4" t="n"/>
      <c r="F362" s="4" t="n"/>
      <c r="G362" s="4" t="n"/>
      <c r="H362" s="4" t="n"/>
      <c r="I362" s="4" t="n"/>
      <c r="J362" s="4" t="n"/>
      <c r="K362" s="4" t="n"/>
      <c r="L362" s="4" t="n"/>
      <c r="M362" s="4" t="n"/>
      <c r="N362" s="4" t="n"/>
      <c r="O362" s="4" t="n"/>
    </row>
    <row r="363">
      <c r="A363" s="4" t="n"/>
      <c r="B363" s="4" t="n"/>
      <c r="C363" s="4" t="n"/>
      <c r="D363" s="4" t="n"/>
      <c r="E363" s="4" t="n"/>
      <c r="F363" s="4" t="n"/>
      <c r="G363" s="4" t="n"/>
      <c r="H363" s="4" t="n"/>
      <c r="I363" s="4" t="n"/>
      <c r="J363" s="4" t="n"/>
      <c r="K363" s="4" t="n"/>
      <c r="L363" s="4" t="n"/>
      <c r="M363" s="4" t="n"/>
      <c r="N363" s="4" t="n"/>
      <c r="O363" s="4" t="n"/>
    </row>
    <row r="364">
      <c r="A364" s="4" t="n"/>
      <c r="B364" s="4" t="n"/>
      <c r="C364" s="4" t="n"/>
      <c r="D364" s="4" t="n"/>
      <c r="E364" s="4" t="n"/>
      <c r="F364" s="4" t="n"/>
      <c r="G364" s="4" t="n"/>
      <c r="H364" s="4" t="n"/>
      <c r="I364" s="4" t="n"/>
      <c r="J364" s="4" t="n"/>
      <c r="K364" s="4" t="n"/>
      <c r="L364" s="4" t="n"/>
      <c r="M364" s="4" t="n"/>
      <c r="N364" s="4" t="n"/>
      <c r="O364" s="4" t="n"/>
    </row>
    <row r="365">
      <c r="A365" s="4" t="n"/>
      <c r="B365" s="4" t="n"/>
      <c r="C365" s="4" t="n"/>
      <c r="D365" s="4" t="n"/>
      <c r="E365" s="4" t="n"/>
      <c r="F365" s="4" t="n"/>
      <c r="G365" s="4" t="n"/>
      <c r="H365" s="4" t="n"/>
      <c r="I365" s="4" t="n"/>
      <c r="J365" s="4" t="n"/>
      <c r="K365" s="4" t="n"/>
      <c r="L365" s="4" t="n"/>
      <c r="M365" s="4" t="n"/>
      <c r="N365" s="4" t="n"/>
      <c r="O365" s="4" t="n"/>
    </row>
    <row r="366">
      <c r="A366" s="4" t="n"/>
      <c r="B366" s="4" t="n"/>
      <c r="C366" s="4" t="n"/>
      <c r="D366" s="4" t="n"/>
      <c r="E366" s="4" t="n"/>
      <c r="F366" s="4" t="n"/>
      <c r="G366" s="4" t="n"/>
      <c r="H366" s="4" t="n"/>
      <c r="I366" s="4" t="n"/>
      <c r="J366" s="4" t="n"/>
      <c r="K366" s="4" t="n"/>
      <c r="L366" s="4" t="n"/>
      <c r="M366" s="4" t="n"/>
      <c r="N366" s="4" t="n"/>
      <c r="O366" s="4" t="n"/>
    </row>
    <row r="367">
      <c r="A367" s="4" t="n"/>
      <c r="B367" s="4" t="n"/>
      <c r="C367" s="4" t="n"/>
      <c r="D367" s="4" t="n"/>
      <c r="E367" s="4" t="n"/>
      <c r="F367" s="4" t="n"/>
      <c r="G367" s="4" t="n"/>
      <c r="H367" s="4" t="n"/>
      <c r="I367" s="4" t="n"/>
      <c r="J367" s="4" t="n"/>
      <c r="K367" s="4" t="n"/>
      <c r="L367" s="4" t="n"/>
      <c r="M367" s="4" t="n"/>
      <c r="N367" s="4" t="n"/>
      <c r="O367" s="4" t="n"/>
    </row>
    <row r="368">
      <c r="A368" s="4" t="n"/>
      <c r="B368" s="4" t="n"/>
      <c r="C368" s="4" t="n"/>
      <c r="D368" s="4" t="n"/>
      <c r="E368" s="4" t="n"/>
      <c r="F368" s="4" t="n"/>
      <c r="G368" s="4" t="n"/>
      <c r="H368" s="4" t="n"/>
      <c r="I368" s="4" t="n"/>
      <c r="J368" s="4" t="n"/>
      <c r="K368" s="4" t="n"/>
      <c r="L368" s="4" t="n"/>
      <c r="M368" s="4" t="n"/>
      <c r="N368" s="4" t="n"/>
      <c r="O368" s="4" t="n"/>
    </row>
    <row r="369">
      <c r="A369" s="4" t="n"/>
      <c r="B369" s="4" t="n"/>
      <c r="C369" s="4" t="n"/>
      <c r="D369" s="4" t="n"/>
      <c r="E369" s="4" t="n"/>
      <c r="F369" s="4" t="n"/>
      <c r="G369" s="4" t="n"/>
      <c r="H369" s="4" t="n"/>
      <c r="I369" s="4" t="n"/>
      <c r="J369" s="4" t="n"/>
      <c r="K369" s="4" t="n"/>
      <c r="L369" s="4" t="n"/>
      <c r="M369" s="4" t="n"/>
      <c r="N369" s="4" t="n"/>
      <c r="O369" s="4" t="n"/>
    </row>
    <row r="370">
      <c r="A370" s="4" t="n"/>
      <c r="B370" s="4" t="n"/>
      <c r="C370" s="4" t="n"/>
      <c r="D370" s="4" t="n"/>
      <c r="E370" s="4" t="n"/>
      <c r="F370" s="4" t="n"/>
      <c r="G370" s="4" t="n"/>
      <c r="H370" s="4" t="n"/>
      <c r="I370" s="4" t="n"/>
      <c r="J370" s="4" t="n"/>
      <c r="K370" s="4" t="n"/>
      <c r="L370" s="4" t="n"/>
      <c r="M370" s="4" t="n"/>
      <c r="N370" s="4" t="n"/>
      <c r="O370" s="4" t="n"/>
    </row>
    <row r="371">
      <c r="A371" s="4" t="n"/>
      <c r="B371" s="4" t="n"/>
      <c r="C371" s="4" t="n"/>
      <c r="D371" s="4" t="n"/>
      <c r="E371" s="4" t="n"/>
      <c r="F371" s="4" t="n"/>
      <c r="G371" s="4" t="n"/>
      <c r="H371" s="4" t="n"/>
      <c r="I371" s="4" t="n"/>
      <c r="J371" s="4" t="n"/>
      <c r="K371" s="4" t="n"/>
      <c r="L371" s="4" t="n"/>
      <c r="M371" s="4" t="n"/>
      <c r="N371" s="4" t="n"/>
      <c r="O371" s="4" t="n"/>
    </row>
    <row r="372">
      <c r="A372" s="4" t="n"/>
      <c r="B372" s="4" t="n"/>
      <c r="C372" s="4" t="n"/>
      <c r="D372" s="4" t="n"/>
      <c r="E372" s="4" t="n"/>
      <c r="F372" s="4" t="n"/>
      <c r="G372" s="4" t="n"/>
      <c r="H372" s="4" t="n"/>
      <c r="I372" s="4" t="n"/>
      <c r="J372" s="4" t="n"/>
      <c r="K372" s="4" t="n"/>
      <c r="L372" s="4" t="n"/>
      <c r="M372" s="4" t="n"/>
      <c r="N372" s="4" t="n"/>
      <c r="O372" s="4" t="n"/>
    </row>
    <row r="373">
      <c r="A373" s="4" t="n"/>
      <c r="B373" s="4" t="n"/>
      <c r="C373" s="4" t="n"/>
      <c r="D373" s="4" t="n"/>
      <c r="E373" s="4" t="n"/>
      <c r="F373" s="4" t="n"/>
      <c r="G373" s="4" t="n"/>
      <c r="H373" s="4" t="n"/>
      <c r="I373" s="4" t="n"/>
      <c r="J373" s="4" t="n"/>
      <c r="K373" s="4" t="n"/>
      <c r="L373" s="4" t="n"/>
      <c r="M373" s="4" t="n"/>
      <c r="N373" s="4" t="n"/>
      <c r="O373" s="4" t="n"/>
    </row>
    <row r="374">
      <c r="A374" s="4" t="n"/>
      <c r="B374" s="4" t="n"/>
      <c r="C374" s="4" t="n"/>
      <c r="D374" s="4" t="n"/>
      <c r="E374" s="4" t="n"/>
      <c r="F374" s="4" t="n"/>
      <c r="G374" s="4" t="n"/>
      <c r="H374" s="4" t="n"/>
      <c r="I374" s="4" t="n"/>
      <c r="J374" s="4" t="n"/>
      <c r="K374" s="4" t="n"/>
      <c r="L374" s="4" t="n"/>
      <c r="M374" s="4" t="n"/>
      <c r="N374" s="4" t="n"/>
      <c r="O374" s="4" t="n"/>
    </row>
    <row r="375">
      <c r="A375" s="4" t="n"/>
      <c r="B375" s="4" t="n"/>
      <c r="C375" s="4" t="n"/>
      <c r="D375" s="4" t="n"/>
      <c r="E375" s="4" t="n"/>
      <c r="F375" s="4" t="n"/>
      <c r="G375" s="4" t="n"/>
      <c r="H375" s="4" t="n"/>
      <c r="I375" s="4" t="n"/>
      <c r="J375" s="4" t="n"/>
      <c r="K375" s="4" t="n"/>
      <c r="L375" s="4" t="n"/>
      <c r="M375" s="4" t="n"/>
      <c r="N375" s="4" t="n"/>
      <c r="O375" s="4" t="n"/>
    </row>
    <row r="376">
      <c r="A376" s="4" t="n"/>
      <c r="B376" s="4" t="n"/>
      <c r="C376" s="4" t="n"/>
      <c r="D376" s="4" t="n"/>
      <c r="E376" s="4" t="n"/>
      <c r="F376" s="4" t="n"/>
      <c r="G376" s="4" t="n"/>
      <c r="H376" s="4" t="n"/>
      <c r="I376" s="4" t="n"/>
      <c r="J376" s="4" t="n"/>
      <c r="K376" s="4" t="n"/>
      <c r="L376" s="4" t="n"/>
      <c r="M376" s="4" t="n"/>
      <c r="N376" s="4" t="n"/>
      <c r="O376" s="4" t="n"/>
    </row>
    <row r="377">
      <c r="A377" s="4" t="n"/>
      <c r="B377" s="4" t="n"/>
      <c r="C377" s="4" t="n"/>
      <c r="D377" s="4" t="n"/>
      <c r="E377" s="4" t="n"/>
      <c r="F377" s="4" t="n"/>
      <c r="G377" s="4" t="n"/>
      <c r="H377" s="4" t="n"/>
      <c r="I377" s="4" t="n"/>
      <c r="J377" s="4" t="n"/>
      <c r="K377" s="4" t="n"/>
      <c r="L377" s="4" t="n"/>
      <c r="M377" s="4" t="n"/>
      <c r="N377" s="4" t="n"/>
      <c r="O377" s="4" t="n"/>
    </row>
    <row r="378">
      <c r="A378" s="4" t="n"/>
      <c r="B378" s="4" t="n"/>
      <c r="C378" s="4" t="n"/>
      <c r="D378" s="4" t="n"/>
      <c r="E378" s="4" t="n"/>
      <c r="F378" s="4" t="n"/>
      <c r="G378" s="4" t="n"/>
      <c r="H378" s="4" t="n"/>
      <c r="I378" s="4" t="n"/>
      <c r="J378" s="4" t="n"/>
      <c r="K378" s="4" t="n"/>
      <c r="L378" s="4" t="n"/>
      <c r="M378" s="4" t="n"/>
      <c r="N378" s="4" t="n"/>
      <c r="O378" s="4" t="n"/>
    </row>
    <row r="379">
      <c r="A379" s="4" t="n"/>
      <c r="B379" s="4" t="n"/>
      <c r="C379" s="4" t="n"/>
      <c r="D379" s="4" t="n"/>
      <c r="E379" s="4" t="n"/>
      <c r="F379" s="4" t="n"/>
      <c r="G379" s="4" t="n"/>
      <c r="H379" s="4" t="n"/>
      <c r="I379" s="4" t="n"/>
      <c r="J379" s="4" t="n"/>
      <c r="K379" s="4" t="n"/>
      <c r="L379" s="4" t="n"/>
      <c r="M379" s="4" t="n"/>
      <c r="N379" s="4" t="n"/>
      <c r="O379" s="4" t="n"/>
    </row>
    <row r="380">
      <c r="A380" s="4" t="n"/>
      <c r="B380" s="4" t="n"/>
      <c r="C380" s="4" t="n"/>
      <c r="D380" s="4" t="n"/>
      <c r="E380" s="4" t="n"/>
      <c r="F380" s="4" t="n"/>
      <c r="G380" s="4" t="n"/>
      <c r="H380" s="4" t="n"/>
      <c r="I380" s="4" t="n"/>
      <c r="J380" s="4" t="n"/>
      <c r="K380" s="4" t="n"/>
      <c r="L380" s="4" t="n"/>
      <c r="M380" s="4" t="n"/>
      <c r="N380" s="4" t="n"/>
      <c r="O380" s="4" t="n"/>
    </row>
    <row r="381">
      <c r="A381" s="4" t="n"/>
      <c r="B381" s="4" t="n"/>
      <c r="C381" s="4" t="n"/>
      <c r="D381" s="4" t="n"/>
      <c r="E381" s="4" t="n"/>
      <c r="F381" s="4" t="n"/>
      <c r="G381" s="4" t="n"/>
      <c r="H381" s="4" t="n"/>
      <c r="I381" s="4" t="n"/>
      <c r="J381" s="4" t="n"/>
      <c r="K381" s="4" t="n"/>
      <c r="L381" s="4" t="n"/>
      <c r="M381" s="4" t="n"/>
      <c r="N381" s="4" t="n"/>
      <c r="O381" s="4" t="n"/>
    </row>
    <row r="382">
      <c r="A382" s="4" t="n"/>
      <c r="B382" s="4" t="n"/>
      <c r="C382" s="4" t="n"/>
      <c r="D382" s="4" t="n"/>
      <c r="E382" s="4" t="n"/>
      <c r="F382" s="4" t="n"/>
      <c r="G382" s="4" t="n"/>
      <c r="H382" s="4" t="n"/>
      <c r="I382" s="4" t="n"/>
      <c r="J382" s="4" t="n"/>
      <c r="K382" s="4" t="n"/>
      <c r="L382" s="4" t="n"/>
      <c r="M382" s="4" t="n"/>
      <c r="N382" s="4" t="n"/>
      <c r="O382" s="4" t="n"/>
    </row>
    <row r="383">
      <c r="A383" s="4" t="n"/>
      <c r="B383" s="4" t="n"/>
      <c r="C383" s="4" t="n"/>
      <c r="D383" s="4" t="n"/>
      <c r="E383" s="4" t="n"/>
      <c r="F383" s="4" t="n"/>
      <c r="G383" s="4" t="n"/>
      <c r="H383" s="4" t="n"/>
      <c r="I383" s="4" t="n"/>
      <c r="J383" s="4" t="n"/>
      <c r="K383" s="4" t="n"/>
      <c r="L383" s="4" t="n"/>
      <c r="M383" s="4" t="n"/>
      <c r="N383" s="4" t="n"/>
      <c r="O383" s="4" t="n"/>
    </row>
    <row r="384">
      <c r="A384" s="4" t="n"/>
      <c r="B384" s="4" t="n"/>
      <c r="C384" s="4" t="n"/>
      <c r="D384" s="4" t="n"/>
      <c r="E384" s="4" t="n"/>
      <c r="F384" s="4" t="n"/>
      <c r="G384" s="4" t="n"/>
      <c r="H384" s="4" t="n"/>
      <c r="I384" s="4" t="n"/>
      <c r="J384" s="4" t="n"/>
      <c r="K384" s="4" t="n"/>
      <c r="L384" s="4" t="n"/>
      <c r="M384" s="4" t="n"/>
      <c r="N384" s="4" t="n"/>
      <c r="O384" s="4" t="n"/>
    </row>
    <row r="385">
      <c r="A385" s="4" t="n"/>
      <c r="B385" s="4" t="n"/>
      <c r="C385" s="4" t="n"/>
      <c r="D385" s="4" t="n"/>
      <c r="E385" s="4" t="n"/>
      <c r="F385" s="4" t="n"/>
      <c r="G385" s="4" t="n"/>
      <c r="H385" s="4" t="n"/>
      <c r="I385" s="4" t="n"/>
      <c r="J385" s="4" t="n"/>
      <c r="K385" s="4" t="n"/>
      <c r="L385" s="4" t="n"/>
      <c r="M385" s="4" t="n"/>
      <c r="N385" s="4" t="n"/>
      <c r="O385" s="4" t="n"/>
    </row>
    <row r="386">
      <c r="A386" s="4" t="n"/>
      <c r="B386" s="4" t="n"/>
      <c r="C386" s="4" t="n"/>
      <c r="D386" s="4" t="n"/>
      <c r="E386" s="4" t="n"/>
      <c r="F386" s="4" t="n"/>
      <c r="G386" s="4" t="n"/>
      <c r="H386" s="4" t="n"/>
      <c r="I386" s="4" t="n"/>
      <c r="J386" s="4" t="n"/>
      <c r="K386" s="4" t="n"/>
      <c r="L386" s="4" t="n"/>
      <c r="M386" s="4" t="n"/>
      <c r="N386" s="4" t="n"/>
      <c r="O386" s="4" t="n"/>
    </row>
    <row r="387">
      <c r="A387" s="4" t="n"/>
      <c r="B387" s="4" t="n"/>
      <c r="C387" s="4" t="n"/>
      <c r="D387" s="4" t="n"/>
      <c r="E387" s="4" t="n"/>
      <c r="F387" s="4" t="n"/>
      <c r="G387" s="4" t="n"/>
      <c r="H387" s="4" t="n"/>
      <c r="I387" s="4" t="n"/>
      <c r="J387" s="4" t="n"/>
      <c r="K387" s="4" t="n"/>
      <c r="L387" s="4" t="n"/>
      <c r="M387" s="4" t="n"/>
      <c r="N387" s="4" t="n"/>
      <c r="O387" s="4" t="n"/>
    </row>
    <row r="388">
      <c r="A388" s="4" t="n"/>
      <c r="B388" s="4" t="n"/>
      <c r="C388" s="4" t="n"/>
      <c r="D388" s="4" t="n"/>
      <c r="E388" s="4" t="n"/>
      <c r="F388" s="4" t="n"/>
      <c r="G388" s="4" t="n"/>
      <c r="H388" s="4" t="n"/>
      <c r="I388" s="4" t="n"/>
      <c r="J388" s="4" t="n"/>
      <c r="K388" s="4" t="n"/>
      <c r="L388" s="4" t="n"/>
      <c r="M388" s="4" t="n"/>
      <c r="N388" s="4" t="n"/>
      <c r="O388" s="4" t="n"/>
    </row>
    <row r="389">
      <c r="A389" s="4" t="n"/>
      <c r="B389" s="4" t="n"/>
      <c r="C389" s="4" t="n"/>
      <c r="D389" s="4" t="n"/>
      <c r="E389" s="4" t="n"/>
      <c r="F389" s="4" t="n"/>
      <c r="G389" s="4" t="n"/>
      <c r="H389" s="4" t="n"/>
      <c r="I389" s="4" t="n"/>
      <c r="J389" s="4" t="n"/>
      <c r="K389" s="4" t="n"/>
      <c r="L389" s="4" t="n"/>
      <c r="M389" s="4" t="n"/>
      <c r="N389" s="4" t="n"/>
      <c r="O389" s="4" t="n"/>
    </row>
    <row r="390">
      <c r="A390" s="4" t="n"/>
      <c r="B390" s="4" t="n"/>
      <c r="C390" s="4" t="n"/>
      <c r="D390" s="4" t="n"/>
      <c r="E390" s="4" t="n"/>
      <c r="F390" s="4" t="n"/>
      <c r="G390" s="4" t="n"/>
      <c r="H390" s="4" t="n"/>
      <c r="I390" s="4" t="n"/>
      <c r="J390" s="4" t="n"/>
      <c r="K390" s="4" t="n"/>
      <c r="L390" s="4" t="n"/>
      <c r="M390" s="4" t="n"/>
      <c r="N390" s="4" t="n"/>
      <c r="O390" s="4" t="n"/>
    </row>
    <row r="391">
      <c r="A391" s="4" t="n"/>
      <c r="B391" s="4" t="n"/>
      <c r="C391" s="4" t="n"/>
      <c r="D391" s="4" t="n"/>
      <c r="E391" s="4" t="n"/>
      <c r="F391" s="4" t="n"/>
      <c r="G391" s="4" t="n"/>
      <c r="H391" s="4" t="n"/>
      <c r="I391" s="4" t="n"/>
      <c r="J391" s="4" t="n"/>
      <c r="K391" s="4" t="n"/>
      <c r="L391" s="4" t="n"/>
      <c r="M391" s="4" t="n"/>
      <c r="N391" s="4" t="n"/>
      <c r="O391" s="4" t="n"/>
    </row>
    <row r="392">
      <c r="A392" s="4" t="n"/>
      <c r="B392" s="4" t="n"/>
      <c r="C392" s="4" t="n"/>
      <c r="D392" s="4" t="n"/>
      <c r="E392" s="4" t="n"/>
      <c r="F392" s="4" t="n"/>
      <c r="G392" s="4" t="n"/>
      <c r="H392" s="4" t="n"/>
      <c r="I392" s="4" t="n"/>
      <c r="J392" s="4" t="n"/>
      <c r="K392" s="4" t="n"/>
      <c r="L392" s="4" t="n"/>
      <c r="M392" s="4" t="n"/>
      <c r="N392" s="4" t="n"/>
      <c r="O392" s="4" t="n"/>
    </row>
    <row r="393">
      <c r="A393" s="4" t="n"/>
      <c r="B393" s="4" t="n"/>
      <c r="C393" s="4" t="n"/>
      <c r="D393" s="4" t="n"/>
      <c r="E393" s="4" t="n"/>
      <c r="F393" s="4" t="n"/>
      <c r="G393" s="4" t="n"/>
      <c r="H393" s="4" t="n"/>
      <c r="I393" s="4" t="n"/>
      <c r="J393" s="4" t="n"/>
      <c r="K393" s="4" t="n"/>
      <c r="L393" s="4" t="n"/>
      <c r="M393" s="4" t="n"/>
      <c r="N393" s="4" t="n"/>
      <c r="O393" s="4" t="n"/>
    </row>
    <row r="394">
      <c r="A394" s="4" t="n"/>
      <c r="B394" s="4" t="n"/>
      <c r="C394" s="4" t="n"/>
      <c r="D394" s="4" t="n"/>
      <c r="E394" s="4" t="n"/>
      <c r="F394" s="4" t="n"/>
      <c r="G394" s="4" t="n"/>
      <c r="H394" s="4" t="n"/>
      <c r="I394" s="4" t="n"/>
      <c r="J394" s="4" t="n"/>
      <c r="K394" s="4" t="n"/>
      <c r="L394" s="4" t="n"/>
      <c r="M394" s="4" t="n"/>
      <c r="N394" s="4" t="n"/>
      <c r="O394" s="4" t="n"/>
    </row>
    <row r="395">
      <c r="A395" s="4" t="n"/>
      <c r="B395" s="4" t="n"/>
      <c r="C395" s="4" t="n"/>
      <c r="D395" s="4" t="n"/>
      <c r="E395" s="4" t="n"/>
      <c r="F395" s="4" t="n"/>
      <c r="G395" s="4" t="n"/>
      <c r="H395" s="4" t="n"/>
      <c r="I395" s="4" t="n"/>
      <c r="J395" s="4" t="n"/>
      <c r="K395" s="4" t="n"/>
      <c r="L395" s="4" t="n"/>
      <c r="M395" s="4" t="n"/>
      <c r="N395" s="4" t="n"/>
      <c r="O395" s="4" t="n"/>
    </row>
    <row r="396">
      <c r="A396" s="4" t="n"/>
      <c r="B396" s="4" t="n"/>
      <c r="C396" s="4" t="n"/>
      <c r="D396" s="4" t="n"/>
      <c r="E396" s="4" t="n"/>
      <c r="F396" s="4" t="n"/>
      <c r="G396" s="4" t="n"/>
      <c r="H396" s="4" t="n"/>
      <c r="I396" s="4" t="n"/>
      <c r="J396" s="4" t="n"/>
      <c r="K396" s="4" t="n"/>
      <c r="L396" s="4" t="n"/>
      <c r="M396" s="4" t="n"/>
      <c r="N396" s="4" t="n"/>
      <c r="O396" s="4" t="n"/>
    </row>
    <row r="397">
      <c r="A397" s="4" t="n"/>
      <c r="B397" s="4" t="n"/>
      <c r="C397" s="4" t="n"/>
      <c r="D397" s="4" t="n"/>
      <c r="E397" s="4" t="n"/>
      <c r="F397" s="4" t="n"/>
      <c r="G397" s="4" t="n"/>
      <c r="H397" s="4" t="n"/>
      <c r="I397" s="4" t="n"/>
      <c r="J397" s="4" t="n"/>
      <c r="K397" s="4" t="n"/>
      <c r="L397" s="4" t="n"/>
      <c r="M397" s="4" t="n"/>
      <c r="N397" s="4" t="n"/>
      <c r="O397" s="4" t="n"/>
    </row>
    <row r="398">
      <c r="A398" s="4" t="n"/>
      <c r="B398" s="4" t="n"/>
      <c r="C398" s="4" t="n"/>
      <c r="D398" s="4" t="n"/>
      <c r="E398" s="4" t="n"/>
      <c r="F398" s="4" t="n"/>
      <c r="G398" s="4" t="n"/>
      <c r="H398" s="4" t="n"/>
      <c r="I398" s="4" t="n"/>
      <c r="J398" s="4" t="n"/>
      <c r="K398" s="4" t="n"/>
      <c r="L398" s="4" t="n"/>
      <c r="M398" s="4" t="n"/>
      <c r="N398" s="4" t="n"/>
      <c r="O398" s="4" t="n"/>
    </row>
    <row r="399">
      <c r="A399" s="4" t="n"/>
      <c r="B399" s="4" t="n"/>
      <c r="C399" s="4" t="n"/>
      <c r="D399" s="4" t="n"/>
      <c r="E399" s="4" t="n"/>
      <c r="F399" s="4" t="n"/>
      <c r="G399" s="4" t="n"/>
      <c r="H399" s="4" t="n"/>
      <c r="I399" s="4" t="n"/>
      <c r="J399" s="4" t="n"/>
      <c r="K399" s="4" t="n"/>
      <c r="L399" s="4" t="n"/>
      <c r="M399" s="4" t="n"/>
      <c r="N399" s="4" t="n"/>
      <c r="O399" s="4" t="n"/>
    </row>
    <row r="400">
      <c r="A400" s="4" t="n"/>
      <c r="B400" s="4" t="n"/>
      <c r="C400" s="4" t="n"/>
      <c r="D400" s="4" t="n"/>
      <c r="E400" s="4" t="n"/>
      <c r="F400" s="4" t="n"/>
      <c r="G400" s="4" t="n"/>
      <c r="H400" s="4" t="n"/>
      <c r="I400" s="4" t="n"/>
      <c r="J400" s="4" t="n"/>
      <c r="K400" s="4" t="n"/>
      <c r="L400" s="4" t="n"/>
      <c r="M400" s="4" t="n"/>
      <c r="N400" s="4" t="n"/>
      <c r="O400" s="4" t="n"/>
    </row>
    <row r="401">
      <c r="A401" s="4" t="n"/>
      <c r="B401" s="4" t="n"/>
      <c r="C401" s="4" t="n"/>
      <c r="D401" s="4" t="n"/>
      <c r="E401" s="4" t="n"/>
      <c r="F401" s="4" t="n"/>
      <c r="G401" s="4" t="n"/>
      <c r="H401" s="4" t="n"/>
      <c r="I401" s="4" t="n"/>
      <c r="J401" s="4" t="n"/>
      <c r="K401" s="4" t="n"/>
      <c r="L401" s="4" t="n"/>
      <c r="M401" s="4" t="n"/>
      <c r="N401" s="4" t="n"/>
      <c r="O401" s="4" t="n"/>
    </row>
    <row r="402">
      <c r="A402" s="4" t="n"/>
      <c r="B402" s="4" t="n"/>
      <c r="C402" s="4" t="n"/>
      <c r="D402" s="4" t="n"/>
      <c r="E402" s="4" t="n"/>
      <c r="F402" s="4" t="n"/>
      <c r="G402" s="4" t="n"/>
      <c r="H402" s="4" t="n"/>
      <c r="I402" s="4" t="n"/>
      <c r="J402" s="4" t="n"/>
      <c r="K402" s="4" t="n"/>
      <c r="L402" s="4" t="n"/>
      <c r="M402" s="4" t="n"/>
      <c r="N402" s="4" t="n"/>
      <c r="O402" s="4" t="n"/>
    </row>
    <row r="403">
      <c r="A403" s="4" t="n"/>
      <c r="B403" s="4" t="n"/>
      <c r="C403" s="4" t="n"/>
      <c r="D403" s="4" t="n"/>
      <c r="E403" s="4" t="n"/>
      <c r="F403" s="4" t="n"/>
      <c r="G403" s="4" t="n"/>
      <c r="H403" s="4" t="n"/>
      <c r="I403" s="4" t="n"/>
      <c r="J403" s="4" t="n"/>
      <c r="K403" s="4" t="n"/>
      <c r="L403" s="4" t="n"/>
      <c r="M403" s="4" t="n"/>
      <c r="N403" s="4" t="n"/>
      <c r="O403" s="4" t="n"/>
    </row>
    <row r="404">
      <c r="A404" s="4" t="n"/>
      <c r="B404" s="4" t="n"/>
      <c r="C404" s="4" t="n"/>
      <c r="D404" s="4" t="n"/>
      <c r="E404" s="4" t="n"/>
      <c r="F404" s="4" t="n"/>
      <c r="G404" s="4" t="n"/>
      <c r="H404" s="4" t="n"/>
      <c r="I404" s="4" t="n"/>
      <c r="J404" s="4" t="n"/>
      <c r="K404" s="4" t="n"/>
      <c r="L404" s="4" t="n"/>
      <c r="M404" s="4" t="n"/>
      <c r="N404" s="4" t="n"/>
      <c r="O404" s="4" t="n"/>
    </row>
    <row r="405">
      <c r="A405" s="4" t="n"/>
      <c r="B405" s="4" t="n"/>
      <c r="C405" s="4" t="n"/>
      <c r="D405" s="4" t="n"/>
      <c r="E405" s="4" t="n"/>
      <c r="F405" s="4" t="n"/>
      <c r="G405" s="4" t="n"/>
      <c r="H405" s="4" t="n"/>
      <c r="I405" s="4" t="n"/>
      <c r="J405" s="4" t="n"/>
      <c r="K405" s="4" t="n"/>
      <c r="L405" s="4" t="n"/>
      <c r="M405" s="4" t="n"/>
      <c r="N405" s="4" t="n"/>
      <c r="O405" s="4" t="n"/>
    </row>
    <row r="406">
      <c r="A406" s="4" t="n"/>
      <c r="B406" s="4" t="n"/>
      <c r="C406" s="4" t="n"/>
      <c r="D406" s="4" t="n"/>
      <c r="E406" s="4" t="n"/>
      <c r="F406" s="4" t="n"/>
      <c r="G406" s="4" t="n"/>
      <c r="H406" s="4" t="n"/>
      <c r="I406" s="4" t="n"/>
      <c r="J406" s="4" t="n"/>
      <c r="K406" s="4" t="n"/>
      <c r="L406" s="4" t="n"/>
      <c r="M406" s="4" t="n"/>
      <c r="N406" s="4" t="n"/>
      <c r="O406" s="4" t="n"/>
    </row>
    <row r="407">
      <c r="A407" s="4" t="n"/>
      <c r="B407" s="4" t="n"/>
      <c r="C407" s="4" t="n"/>
      <c r="D407" s="4" t="n"/>
      <c r="E407" s="4" t="n"/>
      <c r="F407" s="4" t="n"/>
      <c r="G407" s="4" t="n"/>
      <c r="H407" s="4" t="n"/>
      <c r="I407" s="4" t="n"/>
      <c r="J407" s="4" t="n"/>
      <c r="K407" s="4" t="n"/>
      <c r="L407" s="4" t="n"/>
      <c r="M407" s="4" t="n"/>
      <c r="N407" s="4" t="n"/>
      <c r="O407" s="4" t="n"/>
    </row>
    <row r="408">
      <c r="A408" s="4" t="n"/>
      <c r="B408" s="4" t="n"/>
      <c r="C408" s="4" t="n"/>
      <c r="D408" s="4" t="n"/>
      <c r="E408" s="4" t="n"/>
      <c r="F408" s="4" t="n"/>
      <c r="G408" s="4" t="n"/>
      <c r="H408" s="4" t="n"/>
      <c r="I408" s="4" t="n"/>
      <c r="J408" s="4" t="n"/>
      <c r="K408" s="4" t="n"/>
      <c r="L408" s="4" t="n"/>
      <c r="M408" s="4" t="n"/>
      <c r="N408" s="4" t="n"/>
      <c r="O408" s="4" t="n"/>
    </row>
    <row r="409">
      <c r="A409" s="4" t="n"/>
      <c r="B409" s="4" t="n"/>
      <c r="C409" s="4" t="n"/>
      <c r="D409" s="4" t="n"/>
      <c r="E409" s="4" t="n"/>
      <c r="F409" s="4" t="n"/>
      <c r="G409" s="4" t="n"/>
      <c r="H409" s="4" t="n"/>
      <c r="I409" s="4" t="n"/>
      <c r="J409" s="4" t="n"/>
      <c r="K409" s="4" t="n"/>
      <c r="L409" s="4" t="n"/>
      <c r="M409" s="4" t="n"/>
      <c r="N409" s="4" t="n"/>
      <c r="O409" s="4" t="n"/>
    </row>
    <row r="410">
      <c r="A410" s="4" t="n"/>
      <c r="B410" s="4" t="n"/>
      <c r="C410" s="4" t="n"/>
      <c r="D410" s="4" t="n"/>
      <c r="E410" s="4" t="n"/>
      <c r="F410" s="4" t="n"/>
      <c r="G410" s="4" t="n"/>
      <c r="H410" s="4" t="n"/>
      <c r="I410" s="4" t="n"/>
      <c r="J410" s="4" t="n"/>
      <c r="K410" s="4" t="n"/>
      <c r="L410" s="4" t="n"/>
      <c r="M410" s="4" t="n"/>
      <c r="N410" s="4" t="n"/>
      <c r="O410" s="4" t="n"/>
    </row>
    <row r="411">
      <c r="A411" s="4" t="n"/>
      <c r="B411" s="4" t="n"/>
      <c r="C411" s="4" t="n"/>
      <c r="D411" s="4" t="n"/>
      <c r="E411" s="4" t="n"/>
      <c r="F411" s="4" t="n"/>
      <c r="G411" s="4" t="n"/>
      <c r="H411" s="4" t="n"/>
      <c r="I411" s="4" t="n"/>
      <c r="J411" s="4" t="n"/>
      <c r="K411" s="4" t="n"/>
      <c r="L411" s="4" t="n"/>
      <c r="M411" s="4" t="n"/>
      <c r="N411" s="4" t="n"/>
      <c r="O411" s="4" t="n"/>
    </row>
    <row r="412">
      <c r="A412" s="4" t="n"/>
      <c r="B412" s="4" t="n"/>
      <c r="C412" s="4" t="n"/>
      <c r="D412" s="4" t="n"/>
      <c r="E412" s="4" t="n"/>
      <c r="F412" s="4" t="n"/>
      <c r="G412" s="4" t="n"/>
      <c r="H412" s="4" t="n"/>
      <c r="I412" s="4" t="n"/>
      <c r="J412" s="4" t="n"/>
      <c r="K412" s="4" t="n"/>
      <c r="L412" s="4" t="n"/>
      <c r="M412" s="4" t="n"/>
      <c r="N412" s="4" t="n"/>
      <c r="O412" s="4" t="n"/>
    </row>
    <row r="413">
      <c r="A413" s="4" t="n"/>
      <c r="B413" s="4" t="n"/>
      <c r="C413" s="4" t="n"/>
      <c r="D413" s="4" t="n"/>
      <c r="E413" s="4" t="n"/>
      <c r="F413" s="4" t="n"/>
      <c r="G413" s="4" t="n"/>
      <c r="H413" s="4" t="n"/>
      <c r="I413" s="4" t="n"/>
      <c r="J413" s="4" t="n"/>
      <c r="K413" s="4" t="n"/>
      <c r="L413" s="4" t="n"/>
      <c r="M413" s="4" t="n"/>
      <c r="N413" s="4" t="n"/>
      <c r="O413" s="4" t="n"/>
    </row>
    <row r="414">
      <c r="A414" s="4" t="n"/>
      <c r="B414" s="4" t="n"/>
      <c r="C414" s="4" t="n"/>
      <c r="D414" s="4" t="n"/>
      <c r="E414" s="4" t="n"/>
      <c r="F414" s="4" t="n"/>
      <c r="G414" s="4" t="n"/>
      <c r="H414" s="4" t="n"/>
      <c r="I414" s="4" t="n"/>
      <c r="J414" s="4" t="n"/>
      <c r="K414" s="4" t="n"/>
      <c r="L414" s="4" t="n"/>
      <c r="M414" s="4" t="n"/>
      <c r="N414" s="4" t="n"/>
      <c r="O414" s="4" t="n"/>
    </row>
    <row r="415">
      <c r="A415" s="4" t="n"/>
      <c r="B415" s="4" t="n"/>
      <c r="C415" s="4" t="n"/>
      <c r="D415" s="4" t="n"/>
      <c r="E415" s="4" t="n"/>
      <c r="F415" s="4" t="n"/>
      <c r="G415" s="4" t="n"/>
      <c r="H415" s="4" t="n"/>
      <c r="I415" s="4" t="n"/>
      <c r="J415" s="4" t="n"/>
      <c r="K415" s="4" t="n"/>
      <c r="L415" s="4" t="n"/>
      <c r="M415" s="4" t="n"/>
      <c r="N415" s="4" t="n"/>
      <c r="O415" s="4" t="n"/>
    </row>
    <row r="416">
      <c r="A416" s="4" t="n"/>
      <c r="B416" s="4" t="n"/>
      <c r="C416" s="4" t="n"/>
      <c r="D416" s="4" t="n"/>
      <c r="E416" s="4" t="n"/>
      <c r="F416" s="4" t="n"/>
      <c r="G416" s="4" t="n"/>
      <c r="H416" s="4" t="n"/>
      <c r="I416" s="4" t="n"/>
      <c r="J416" s="4" t="n"/>
      <c r="K416" s="4" t="n"/>
      <c r="L416" s="4" t="n"/>
      <c r="M416" s="4" t="n"/>
      <c r="N416" s="4" t="n"/>
      <c r="O416" s="4" t="n"/>
    </row>
    <row r="417">
      <c r="A417" s="4" t="n"/>
      <c r="B417" s="4" t="n"/>
      <c r="C417" s="4" t="n"/>
      <c r="D417" s="4" t="n"/>
      <c r="E417" s="4" t="n"/>
      <c r="F417" s="4" t="n"/>
      <c r="G417" s="4" t="n"/>
      <c r="H417" s="4" t="n"/>
      <c r="I417" s="4" t="n"/>
      <c r="J417" s="4" t="n"/>
      <c r="K417" s="4" t="n"/>
      <c r="L417" s="4" t="n"/>
      <c r="M417" s="4" t="n"/>
      <c r="N417" s="4" t="n"/>
      <c r="O417" s="4" t="n"/>
    </row>
    <row r="418">
      <c r="A418" s="4" t="n"/>
      <c r="B418" s="4" t="n"/>
      <c r="C418" s="4" t="n"/>
      <c r="D418" s="4" t="n"/>
      <c r="E418" s="4" t="n"/>
      <c r="F418" s="4" t="n"/>
      <c r="G418" s="4" t="n"/>
      <c r="H418" s="4" t="n"/>
      <c r="I418" s="4" t="n"/>
      <c r="J418" s="4" t="n"/>
      <c r="K418" s="4" t="n"/>
      <c r="L418" s="4" t="n"/>
      <c r="M418" s="4" t="n"/>
      <c r="N418" s="4" t="n"/>
      <c r="O418" s="4" t="n"/>
    </row>
    <row r="419">
      <c r="A419" s="4" t="n"/>
      <c r="B419" s="4" t="n"/>
      <c r="C419" s="4" t="n"/>
      <c r="D419" s="4" t="n"/>
      <c r="E419" s="4" t="n"/>
      <c r="F419" s="4" t="n"/>
      <c r="G419" s="4" t="n"/>
      <c r="H419" s="4" t="n"/>
      <c r="I419" s="4" t="n"/>
      <c r="J419" s="4" t="n"/>
      <c r="K419" s="4" t="n"/>
      <c r="L419" s="4" t="n"/>
      <c r="M419" s="4" t="n"/>
      <c r="N419" s="4" t="n"/>
      <c r="O419" s="4" t="n"/>
    </row>
    <row r="420">
      <c r="A420" s="4" t="n"/>
      <c r="B420" s="4" t="n"/>
      <c r="C420" s="4" t="n"/>
      <c r="D420" s="4" t="n"/>
      <c r="E420" s="4" t="n"/>
      <c r="F420" s="4" t="n"/>
      <c r="G420" s="4" t="n"/>
      <c r="H420" s="4" t="n"/>
      <c r="I420" s="4" t="n"/>
      <c r="J420" s="4" t="n"/>
      <c r="K420" s="4" t="n"/>
      <c r="L420" s="4" t="n"/>
      <c r="M420" s="4" t="n"/>
      <c r="N420" s="4" t="n"/>
      <c r="O420" s="4" t="n"/>
    </row>
    <row r="421">
      <c r="A421" s="4" t="n"/>
      <c r="B421" s="4" t="n"/>
      <c r="C421" s="4" t="n"/>
      <c r="D421" s="4" t="n"/>
      <c r="E421" s="4" t="n"/>
      <c r="F421" s="4" t="n"/>
      <c r="G421" s="4" t="n"/>
      <c r="H421" s="4" t="n"/>
      <c r="I421" s="4" t="n"/>
      <c r="J421" s="4" t="n"/>
      <c r="K421" s="4" t="n"/>
      <c r="L421" s="4" t="n"/>
      <c r="M421" s="4" t="n"/>
      <c r="N421" s="4" t="n"/>
      <c r="O421" s="4" t="n"/>
    </row>
    <row r="422">
      <c r="A422" s="4" t="n"/>
      <c r="B422" s="4" t="n"/>
      <c r="C422" s="4" t="n"/>
      <c r="D422" s="4" t="n"/>
      <c r="E422" s="4" t="n"/>
      <c r="F422" s="4" t="n"/>
      <c r="G422" s="4" t="n"/>
      <c r="H422" s="4" t="n"/>
      <c r="I422" s="4" t="n"/>
      <c r="J422" s="4" t="n"/>
      <c r="K422" s="4" t="n"/>
      <c r="L422" s="4" t="n"/>
      <c r="M422" s="4" t="n"/>
      <c r="N422" s="4" t="n"/>
      <c r="O422" s="4" t="n"/>
    </row>
    <row r="423">
      <c r="A423" s="4" t="n"/>
      <c r="B423" s="4" t="n"/>
      <c r="C423" s="4" t="n"/>
      <c r="D423" s="4" t="n"/>
      <c r="E423" s="4" t="n"/>
      <c r="F423" s="4" t="n"/>
      <c r="G423" s="4" t="n"/>
      <c r="H423" s="4" t="n"/>
      <c r="I423" s="4" t="n"/>
      <c r="J423" s="4" t="n"/>
      <c r="K423" s="4" t="n"/>
      <c r="L423" s="4" t="n"/>
      <c r="M423" s="4" t="n"/>
      <c r="N423" s="4" t="n"/>
      <c r="O423" s="4" t="n"/>
    </row>
    <row r="424">
      <c r="A424" s="4" t="n"/>
      <c r="B424" s="4" t="n"/>
      <c r="C424" s="4" t="n"/>
      <c r="D424" s="4" t="n"/>
      <c r="E424" s="4" t="n"/>
      <c r="F424" s="4" t="n"/>
      <c r="G424" s="4" t="n"/>
      <c r="H424" s="4" t="n"/>
      <c r="I424" s="4" t="n"/>
      <c r="J424" s="4" t="n"/>
      <c r="K424" s="4" t="n"/>
      <c r="L424" s="4" t="n"/>
      <c r="M424" s="4" t="n"/>
      <c r="N424" s="4" t="n"/>
      <c r="O424" s="4" t="n"/>
    </row>
    <row r="425">
      <c r="A425" s="4" t="n"/>
      <c r="B425" s="4" t="n"/>
      <c r="C425" s="4" t="n"/>
      <c r="D425" s="4" t="n"/>
      <c r="E425" s="4" t="n"/>
      <c r="F425" s="4" t="n"/>
      <c r="G425" s="4" t="n"/>
      <c r="H425" s="4" t="n"/>
      <c r="I425" s="4" t="n"/>
      <c r="J425" s="4" t="n"/>
      <c r="K425" s="4" t="n"/>
      <c r="L425" s="4" t="n"/>
      <c r="M425" s="4" t="n"/>
      <c r="N425" s="4" t="n"/>
      <c r="O425" s="4" t="n"/>
    </row>
    <row r="426">
      <c r="A426" s="4" t="n"/>
      <c r="B426" s="4" t="n"/>
      <c r="C426" s="4" t="n"/>
      <c r="D426" s="4" t="n"/>
      <c r="E426" s="4" t="n"/>
      <c r="F426" s="4" t="n"/>
      <c r="G426" s="4" t="n"/>
      <c r="H426" s="4" t="n"/>
      <c r="I426" s="4" t="n"/>
      <c r="J426" s="4" t="n"/>
      <c r="K426" s="4" t="n"/>
      <c r="L426" s="4" t="n"/>
      <c r="M426" s="4" t="n"/>
      <c r="N426" s="4" t="n"/>
      <c r="O426" s="4" t="n"/>
    </row>
    <row r="427">
      <c r="A427" s="4" t="n"/>
      <c r="B427" s="4" t="n"/>
      <c r="C427" s="4" t="n"/>
      <c r="D427" s="4" t="n"/>
      <c r="E427" s="4" t="n"/>
      <c r="F427" s="4" t="n"/>
      <c r="G427" s="4" t="n"/>
      <c r="H427" s="4" t="n"/>
      <c r="I427" s="4" t="n"/>
      <c r="J427" s="4" t="n"/>
      <c r="K427" s="4" t="n"/>
      <c r="L427" s="4" t="n"/>
      <c r="M427" s="4" t="n"/>
      <c r="N427" s="4" t="n"/>
      <c r="O427" s="4" t="n"/>
    </row>
    <row r="428">
      <c r="A428" s="4" t="n"/>
      <c r="B428" s="4" t="n"/>
      <c r="C428" s="4" t="n"/>
      <c r="D428" s="4" t="n"/>
      <c r="E428" s="4" t="n"/>
      <c r="F428" s="4" t="n"/>
      <c r="G428" s="4" t="n"/>
      <c r="H428" s="4" t="n"/>
      <c r="I428" s="4" t="n"/>
      <c r="J428" s="4" t="n"/>
      <c r="K428" s="4" t="n"/>
      <c r="L428" s="4" t="n"/>
      <c r="M428" s="4" t="n"/>
      <c r="N428" s="4" t="n"/>
      <c r="O428" s="4" t="n"/>
    </row>
    <row r="429">
      <c r="A429" s="4" t="n"/>
      <c r="B429" s="4" t="n"/>
      <c r="C429" s="4" t="n"/>
      <c r="D429" s="4" t="n"/>
      <c r="E429" s="4" t="n"/>
      <c r="F429" s="4" t="n"/>
      <c r="G429" s="4" t="n"/>
      <c r="H429" s="4" t="n"/>
      <c r="I429" s="4" t="n"/>
      <c r="J429" s="4" t="n"/>
      <c r="K429" s="4" t="n"/>
      <c r="L429" s="4" t="n"/>
      <c r="M429" s="4" t="n"/>
      <c r="N429" s="4" t="n"/>
      <c r="O429" s="4" t="n"/>
    </row>
    <row r="430">
      <c r="A430" s="4" t="n"/>
      <c r="B430" s="4" t="n"/>
      <c r="C430" s="4" t="n"/>
      <c r="D430" s="4" t="n"/>
      <c r="E430" s="4" t="n"/>
      <c r="F430" s="4" t="n"/>
      <c r="G430" s="4" t="n"/>
      <c r="H430" s="4" t="n"/>
      <c r="I430" s="4" t="n"/>
      <c r="J430" s="4" t="n"/>
      <c r="K430" s="4" t="n"/>
      <c r="L430" s="4" t="n"/>
      <c r="M430" s="4" t="n"/>
      <c r="N430" s="4" t="n"/>
      <c r="O430" s="4" t="n"/>
    </row>
    <row r="431">
      <c r="A431" s="4" t="n"/>
      <c r="B431" s="4" t="n"/>
      <c r="C431" s="4" t="n"/>
      <c r="D431" s="4" t="n"/>
      <c r="E431" s="4" t="n"/>
      <c r="F431" s="4" t="n"/>
      <c r="G431" s="4" t="n"/>
      <c r="H431" s="4" t="n"/>
      <c r="I431" s="4" t="n"/>
      <c r="J431" s="4" t="n"/>
      <c r="K431" s="4" t="n"/>
      <c r="L431" s="4" t="n"/>
      <c r="M431" s="4" t="n"/>
      <c r="N431" s="4" t="n"/>
      <c r="O431" s="4" t="n"/>
    </row>
    <row r="432">
      <c r="A432" s="4" t="n"/>
      <c r="B432" s="4" t="n"/>
      <c r="C432" s="4" t="n"/>
      <c r="D432" s="4" t="n"/>
      <c r="E432" s="4" t="n"/>
      <c r="F432" s="4" t="n"/>
      <c r="G432" s="4" t="n"/>
      <c r="H432" s="4" t="n"/>
      <c r="I432" s="4" t="n"/>
      <c r="J432" s="4" t="n"/>
      <c r="K432" s="4" t="n"/>
      <c r="L432" s="4" t="n"/>
      <c r="M432" s="4" t="n"/>
      <c r="N432" s="4" t="n"/>
      <c r="O432" s="4" t="n"/>
    </row>
    <row r="433">
      <c r="A433" s="4" t="n"/>
      <c r="B433" s="4" t="n"/>
      <c r="C433" s="4" t="n"/>
      <c r="D433" s="4" t="n"/>
      <c r="E433" s="4" t="n"/>
      <c r="F433" s="4" t="n"/>
      <c r="G433" s="4" t="n"/>
      <c r="H433" s="4" t="n"/>
      <c r="I433" s="4" t="n"/>
      <c r="J433" s="4" t="n"/>
      <c r="K433" s="4" t="n"/>
      <c r="L433" s="4" t="n"/>
      <c r="M433" s="4" t="n"/>
      <c r="N433" s="4" t="n"/>
      <c r="O433" s="4" t="n"/>
    </row>
    <row r="434">
      <c r="A434" s="4" t="n"/>
      <c r="B434" s="4" t="n"/>
      <c r="C434" s="4" t="n"/>
      <c r="D434" s="4" t="n"/>
      <c r="E434" s="4" t="n"/>
      <c r="F434" s="4" t="n"/>
      <c r="G434" s="4" t="n"/>
      <c r="H434" s="4" t="n"/>
      <c r="I434" s="4" t="n"/>
      <c r="J434" s="4" t="n"/>
      <c r="K434" s="4" t="n"/>
      <c r="L434" s="4" t="n"/>
      <c r="M434" s="4" t="n"/>
      <c r="N434" s="4" t="n"/>
      <c r="O434" s="4" t="n"/>
    </row>
    <row r="435">
      <c r="A435" s="4" t="n"/>
      <c r="B435" s="4" t="n"/>
      <c r="C435" s="4" t="n"/>
      <c r="D435" s="4" t="n"/>
      <c r="E435" s="4" t="n"/>
      <c r="F435" s="4" t="n"/>
      <c r="G435" s="4" t="n"/>
      <c r="H435" s="4" t="n"/>
      <c r="I435" s="4" t="n"/>
      <c r="J435" s="4" t="n"/>
      <c r="K435" s="4" t="n"/>
      <c r="L435" s="4" t="n"/>
      <c r="M435" s="4" t="n"/>
      <c r="N435" s="4" t="n"/>
      <c r="O435" s="4" t="n"/>
    </row>
    <row r="436">
      <c r="A436" s="4" t="n"/>
      <c r="B436" s="4" t="n"/>
      <c r="C436" s="4" t="n"/>
      <c r="D436" s="4" t="n"/>
      <c r="E436" s="4" t="n"/>
      <c r="F436" s="4" t="n"/>
      <c r="G436" s="4" t="n"/>
      <c r="H436" s="4" t="n"/>
      <c r="I436" s="4" t="n"/>
      <c r="J436" s="4" t="n"/>
      <c r="K436" s="4" t="n"/>
      <c r="L436" s="4" t="n"/>
      <c r="M436" s="4" t="n"/>
      <c r="N436" s="4" t="n"/>
      <c r="O436" s="4" t="n"/>
    </row>
    <row r="437">
      <c r="A437" s="4" t="n"/>
      <c r="B437" s="4" t="n"/>
      <c r="C437" s="4" t="n"/>
      <c r="D437" s="4" t="n"/>
      <c r="E437" s="4" t="n"/>
      <c r="F437" s="4" t="n"/>
      <c r="G437" s="4" t="n"/>
      <c r="H437" s="4" t="n"/>
      <c r="I437" s="4" t="n"/>
      <c r="J437" s="4" t="n"/>
      <c r="K437" s="4" t="n"/>
      <c r="L437" s="4" t="n"/>
      <c r="M437" s="4" t="n"/>
      <c r="N437" s="4" t="n"/>
      <c r="O437" s="4" t="n"/>
    </row>
    <row r="438">
      <c r="A438" s="4" t="n"/>
      <c r="B438" s="4" t="n"/>
      <c r="C438" s="4" t="n"/>
      <c r="D438" s="4" t="n"/>
      <c r="E438" s="4" t="n"/>
      <c r="F438" s="4" t="n"/>
      <c r="G438" s="4" t="n"/>
      <c r="H438" s="4" t="n"/>
      <c r="I438" s="4" t="n"/>
      <c r="J438" s="4" t="n"/>
      <c r="K438" s="4" t="n"/>
      <c r="L438" s="4" t="n"/>
      <c r="M438" s="4" t="n"/>
      <c r="N438" s="4" t="n"/>
      <c r="O438" s="4" t="n"/>
    </row>
    <row r="439">
      <c r="A439" s="4" t="n"/>
      <c r="B439" s="4" t="n"/>
      <c r="C439" s="4" t="n"/>
      <c r="D439" s="4" t="n"/>
      <c r="E439" s="4" t="n"/>
      <c r="F439" s="4" t="n"/>
      <c r="G439" s="4" t="n"/>
      <c r="H439" s="4" t="n"/>
      <c r="I439" s="4" t="n"/>
      <c r="J439" s="4" t="n"/>
      <c r="K439" s="4" t="n"/>
      <c r="L439" s="4" t="n"/>
      <c r="M439" s="4" t="n"/>
      <c r="N439" s="4" t="n"/>
      <c r="O439" s="4" t="n"/>
    </row>
    <row r="440">
      <c r="A440" s="4" t="n"/>
      <c r="B440" s="4" t="n"/>
      <c r="C440" s="4" t="n"/>
      <c r="D440" s="4" t="n"/>
      <c r="E440" s="4" t="n"/>
      <c r="F440" s="4" t="n"/>
      <c r="G440" s="4" t="n"/>
      <c r="H440" s="4" t="n"/>
      <c r="I440" s="4" t="n"/>
      <c r="J440" s="4" t="n"/>
      <c r="K440" s="4" t="n"/>
      <c r="L440" s="4" t="n"/>
      <c r="M440" s="4" t="n"/>
      <c r="N440" s="4" t="n"/>
      <c r="O440" s="4" t="n"/>
    </row>
    <row r="441">
      <c r="A441" s="4" t="n"/>
      <c r="B441" s="4" t="n"/>
      <c r="C441" s="4" t="n"/>
      <c r="D441" s="4" t="n"/>
      <c r="E441" s="4" t="n"/>
      <c r="F441" s="4" t="n"/>
      <c r="G441" s="4" t="n"/>
      <c r="H441" s="4" t="n"/>
      <c r="I441" s="4" t="n"/>
      <c r="J441" s="4" t="n"/>
      <c r="K441" s="4" t="n"/>
      <c r="L441" s="4" t="n"/>
      <c r="M441" s="4" t="n"/>
      <c r="N441" s="4" t="n"/>
      <c r="O441" s="4" t="n"/>
    </row>
    <row r="442">
      <c r="A442" s="4" t="n"/>
      <c r="B442" s="4" t="n"/>
      <c r="C442" s="4" t="n"/>
      <c r="D442" s="4" t="n"/>
      <c r="E442" s="4" t="n"/>
      <c r="F442" s="4" t="n"/>
      <c r="G442" s="4" t="n"/>
      <c r="H442" s="4" t="n"/>
      <c r="I442" s="4" t="n"/>
      <c r="J442" s="4" t="n"/>
      <c r="K442" s="4" t="n"/>
      <c r="L442" s="4" t="n"/>
      <c r="M442" s="4" t="n"/>
      <c r="N442" s="4" t="n"/>
      <c r="O442" s="4" t="n"/>
    </row>
    <row r="443">
      <c r="A443" s="4" t="n"/>
      <c r="B443" s="4" t="n"/>
      <c r="C443" s="4" t="n"/>
      <c r="D443" s="4" t="n"/>
      <c r="E443" s="4" t="n"/>
      <c r="F443" s="4" t="n"/>
      <c r="G443" s="4" t="n"/>
      <c r="H443" s="4" t="n"/>
      <c r="I443" s="4" t="n"/>
      <c r="J443" s="4" t="n"/>
      <c r="K443" s="4" t="n"/>
      <c r="L443" s="4" t="n"/>
      <c r="M443" s="4" t="n"/>
      <c r="N443" s="4" t="n"/>
      <c r="O443" s="4" t="n"/>
    </row>
    <row r="444">
      <c r="A444" s="4" t="n"/>
      <c r="B444" s="4" t="n"/>
      <c r="C444" s="4" t="n"/>
      <c r="D444" s="4" t="n"/>
      <c r="E444" s="4" t="n"/>
      <c r="F444" s="4" t="n"/>
      <c r="G444" s="4" t="n"/>
      <c r="H444" s="4" t="n"/>
      <c r="I444" s="4" t="n"/>
      <c r="J444" s="4" t="n"/>
      <c r="K444" s="4" t="n"/>
      <c r="L444" s="4" t="n"/>
      <c r="M444" s="4" t="n"/>
      <c r="N444" s="4" t="n"/>
      <c r="O444" s="4" t="n"/>
    </row>
    <row r="445">
      <c r="A445" s="4" t="n"/>
      <c r="B445" s="4" t="n"/>
      <c r="C445" s="4" t="n"/>
      <c r="D445" s="4" t="n"/>
      <c r="E445" s="4" t="n"/>
      <c r="F445" s="4" t="n"/>
      <c r="G445" s="4" t="n"/>
      <c r="H445" s="4" t="n"/>
      <c r="I445" s="4" t="n"/>
      <c r="J445" s="4" t="n"/>
      <c r="K445" s="4" t="n"/>
      <c r="L445" s="4" t="n"/>
      <c r="M445" s="4" t="n"/>
      <c r="N445" s="4" t="n"/>
      <c r="O445" s="4" t="n"/>
    </row>
    <row r="446">
      <c r="A446" s="4" t="n"/>
      <c r="B446" s="4" t="n"/>
      <c r="C446" s="4" t="n"/>
      <c r="D446" s="4" t="n"/>
      <c r="E446" s="4" t="n"/>
      <c r="F446" s="4" t="n"/>
      <c r="G446" s="4" t="n"/>
      <c r="H446" s="4" t="n"/>
      <c r="I446" s="4" t="n"/>
      <c r="J446" s="4" t="n"/>
      <c r="K446" s="4" t="n"/>
      <c r="L446" s="4" t="n"/>
      <c r="M446" s="4" t="n"/>
      <c r="N446" s="4" t="n"/>
      <c r="O446" s="4" t="n"/>
    </row>
    <row r="447">
      <c r="A447" s="4" t="n"/>
      <c r="B447" s="4" t="n"/>
      <c r="C447" s="4" t="n"/>
      <c r="D447" s="4" t="n"/>
      <c r="E447" s="4" t="n"/>
      <c r="F447" s="4" t="n"/>
      <c r="G447" s="4" t="n"/>
      <c r="H447" s="4" t="n"/>
      <c r="I447" s="4" t="n"/>
      <c r="J447" s="4" t="n"/>
      <c r="K447" s="4" t="n"/>
      <c r="L447" s="4" t="n"/>
      <c r="M447" s="4" t="n"/>
      <c r="N447" s="4" t="n"/>
      <c r="O447" s="4" t="n"/>
    </row>
    <row r="448">
      <c r="A448" s="4" t="n"/>
      <c r="B448" s="4" t="n"/>
      <c r="C448" s="4" t="n"/>
      <c r="D448" s="4" t="n"/>
      <c r="E448" s="4" t="n"/>
      <c r="F448" s="4" t="n"/>
      <c r="G448" s="4" t="n"/>
      <c r="H448" s="4" t="n"/>
      <c r="I448" s="4" t="n"/>
      <c r="J448" s="4" t="n"/>
      <c r="K448" s="4" t="n"/>
      <c r="L448" s="4" t="n"/>
      <c r="M448" s="4" t="n"/>
      <c r="N448" s="4" t="n"/>
      <c r="O448" s="4" t="n"/>
    </row>
    <row r="449">
      <c r="A449" s="4" t="n"/>
      <c r="B449" s="4" t="n"/>
      <c r="C449" s="4" t="n"/>
      <c r="D449" s="4" t="n"/>
      <c r="E449" s="4" t="n"/>
      <c r="F449" s="4" t="n"/>
      <c r="G449" s="4" t="n"/>
      <c r="H449" s="4" t="n"/>
      <c r="I449" s="4" t="n"/>
      <c r="J449" s="4" t="n"/>
      <c r="K449" s="4" t="n"/>
      <c r="L449" s="4" t="n"/>
      <c r="M449" s="4" t="n"/>
      <c r="N449" s="4" t="n"/>
      <c r="O449" s="4" t="n"/>
    </row>
    <row r="450">
      <c r="A450" s="4" t="n"/>
      <c r="B450" s="4" t="n"/>
      <c r="C450" s="4" t="n"/>
      <c r="D450" s="4" t="n"/>
      <c r="E450" s="4" t="n"/>
      <c r="F450" s="4" t="n"/>
      <c r="G450" s="4" t="n"/>
      <c r="H450" s="4" t="n"/>
      <c r="I450" s="4" t="n"/>
      <c r="J450" s="4" t="n"/>
      <c r="K450" s="4" t="n"/>
      <c r="L450" s="4" t="n"/>
      <c r="M450" s="4" t="n"/>
      <c r="N450" s="4" t="n"/>
      <c r="O450" s="4" t="n"/>
    </row>
    <row r="451">
      <c r="A451" s="4" t="n"/>
      <c r="B451" s="4" t="n"/>
      <c r="C451" s="4" t="n"/>
      <c r="D451" s="4" t="n"/>
      <c r="E451" s="4" t="n"/>
      <c r="F451" s="4" t="n"/>
      <c r="G451" s="4" t="n"/>
      <c r="H451" s="4" t="n"/>
      <c r="I451" s="4" t="n"/>
      <c r="J451" s="4" t="n"/>
      <c r="K451" s="4" t="n"/>
      <c r="L451" s="4" t="n"/>
      <c r="M451" s="4" t="n"/>
      <c r="N451" s="4" t="n"/>
      <c r="O451" s="4" t="n"/>
    </row>
    <row r="452">
      <c r="A452" s="4" t="n"/>
      <c r="B452" s="4" t="n"/>
      <c r="C452" s="4" t="n"/>
      <c r="D452" s="4" t="n"/>
      <c r="E452" s="4" t="n"/>
      <c r="F452" s="4" t="n"/>
      <c r="G452" s="4" t="n"/>
      <c r="H452" s="4" t="n"/>
      <c r="I452" s="4" t="n"/>
      <c r="J452" s="4" t="n"/>
      <c r="K452" s="4" t="n"/>
      <c r="L452" s="4" t="n"/>
      <c r="M452" s="4" t="n"/>
      <c r="N452" s="4" t="n"/>
      <c r="O452" s="4" t="n"/>
    </row>
    <row r="453">
      <c r="A453" s="4" t="n"/>
      <c r="B453" s="4" t="n"/>
      <c r="C453" s="4" t="n"/>
      <c r="D453" s="4" t="n"/>
      <c r="E453" s="4" t="n"/>
      <c r="F453" s="4" t="n"/>
      <c r="G453" s="4" t="n"/>
      <c r="H453" s="4" t="n"/>
      <c r="I453" s="4" t="n"/>
      <c r="J453" s="4" t="n"/>
      <c r="K453" s="4" t="n"/>
      <c r="L453" s="4" t="n"/>
      <c r="M453" s="4" t="n"/>
      <c r="N453" s="4" t="n"/>
      <c r="O453" s="4" t="n"/>
    </row>
    <row r="454">
      <c r="A454" s="4" t="n"/>
      <c r="B454" s="4" t="n"/>
      <c r="C454" s="4" t="n"/>
      <c r="D454" s="4" t="n"/>
      <c r="E454" s="4" t="n"/>
      <c r="F454" s="4" t="n"/>
      <c r="G454" s="4" t="n"/>
      <c r="H454" s="4" t="n"/>
      <c r="I454" s="4" t="n"/>
      <c r="J454" s="4" t="n"/>
      <c r="K454" s="4" t="n"/>
      <c r="L454" s="4" t="n"/>
      <c r="M454" s="4" t="n"/>
      <c r="N454" s="4" t="n"/>
      <c r="O454" s="4" t="n"/>
    </row>
    <row r="455">
      <c r="A455" s="4" t="n"/>
      <c r="B455" s="4" t="n"/>
      <c r="C455" s="4" t="n"/>
      <c r="D455" s="4" t="n"/>
      <c r="E455" s="4" t="n"/>
      <c r="F455" s="4" t="n"/>
      <c r="G455" s="4" t="n"/>
      <c r="H455" s="4" t="n"/>
      <c r="I455" s="4" t="n"/>
      <c r="J455" s="4" t="n"/>
      <c r="K455" s="4" t="n"/>
      <c r="L455" s="4" t="n"/>
      <c r="M455" s="4" t="n"/>
      <c r="N455" s="4" t="n"/>
      <c r="O455" s="4" t="n"/>
    </row>
    <row r="456">
      <c r="A456" s="4" t="n"/>
      <c r="B456" s="4" t="n"/>
      <c r="C456" s="4" t="n"/>
      <c r="D456" s="4" t="n"/>
      <c r="E456" s="4" t="n"/>
      <c r="F456" s="4" t="n"/>
      <c r="G456" s="4" t="n"/>
      <c r="H456" s="4" t="n"/>
      <c r="I456" s="4" t="n"/>
      <c r="J456" s="4" t="n"/>
      <c r="K456" s="4" t="n"/>
      <c r="L456" s="4" t="n"/>
      <c r="M456" s="4" t="n"/>
      <c r="N456" s="4" t="n"/>
      <c r="O456" s="4" t="n"/>
    </row>
    <row r="457">
      <c r="A457" s="4" t="n"/>
      <c r="B457" s="4" t="n"/>
      <c r="C457" s="4" t="n"/>
      <c r="D457" s="4" t="n"/>
      <c r="E457" s="4" t="n"/>
      <c r="F457" s="4" t="n"/>
      <c r="G457" s="4" t="n"/>
      <c r="H457" s="4" t="n"/>
      <c r="I457" s="4" t="n"/>
      <c r="J457" s="4" t="n"/>
      <c r="K457" s="4" t="n"/>
      <c r="L457" s="4" t="n"/>
      <c r="M457" s="4" t="n"/>
      <c r="N457" s="4" t="n"/>
      <c r="O457" s="4" t="n"/>
    </row>
    <row r="458">
      <c r="A458" s="4" t="n"/>
      <c r="B458" s="4" t="n"/>
      <c r="C458" s="4" t="n"/>
      <c r="D458" s="4" t="n"/>
      <c r="E458" s="4" t="n"/>
      <c r="F458" s="4" t="n"/>
      <c r="G458" s="4" t="n"/>
      <c r="H458" s="4" t="n"/>
      <c r="I458" s="4" t="n"/>
      <c r="J458" s="4" t="n"/>
      <c r="K458" s="4" t="n"/>
      <c r="L458" s="4" t="n"/>
      <c r="M458" s="4" t="n"/>
      <c r="N458" s="4" t="n"/>
      <c r="O458" s="4" t="n"/>
    </row>
    <row r="459">
      <c r="A459" s="4" t="n"/>
      <c r="B459" s="4" t="n"/>
      <c r="C459" s="4" t="n"/>
      <c r="D459" s="4" t="n"/>
      <c r="E459" s="4" t="n"/>
      <c r="F459" s="4" t="n"/>
      <c r="G459" s="4" t="n"/>
      <c r="H459" s="4" t="n"/>
      <c r="I459" s="4" t="n"/>
      <c r="J459" s="4" t="n"/>
      <c r="K459" s="4" t="n"/>
      <c r="L459" s="4" t="n"/>
      <c r="M459" s="4" t="n"/>
      <c r="N459" s="4" t="n"/>
      <c r="O459" s="4" t="n"/>
    </row>
    <row r="460">
      <c r="A460" s="4" t="n"/>
      <c r="B460" s="4" t="n"/>
      <c r="C460" s="4" t="n"/>
      <c r="D460" s="4" t="n"/>
      <c r="E460" s="4" t="n"/>
      <c r="F460" s="4" t="n"/>
      <c r="G460" s="4" t="n"/>
      <c r="H460" s="4" t="n"/>
      <c r="I460" s="4" t="n"/>
      <c r="J460" s="4" t="n"/>
      <c r="K460" s="4" t="n"/>
      <c r="L460" s="4" t="n"/>
      <c r="M460" s="4" t="n"/>
      <c r="N460" s="4" t="n"/>
      <c r="O460" s="4" t="n"/>
    </row>
    <row r="461">
      <c r="A461" s="4" t="n"/>
      <c r="B461" s="4" t="n"/>
      <c r="C461" s="4" t="n"/>
      <c r="D461" s="4" t="n"/>
      <c r="E461" s="4" t="n"/>
      <c r="F461" s="4" t="n"/>
      <c r="G461" s="4" t="n"/>
      <c r="H461" s="4" t="n"/>
      <c r="I461" s="4" t="n"/>
      <c r="J461" s="4" t="n"/>
      <c r="K461" s="4" t="n"/>
      <c r="L461" s="4" t="n"/>
      <c r="M461" s="4" t="n"/>
      <c r="N461" s="4" t="n"/>
      <c r="O461" s="4" t="n"/>
    </row>
    <row r="462">
      <c r="A462" s="4" t="n"/>
      <c r="B462" s="4" t="n"/>
      <c r="C462" s="4" t="n"/>
      <c r="D462" s="4" t="n"/>
      <c r="E462" s="4" t="n"/>
      <c r="F462" s="4" t="n"/>
      <c r="G462" s="4" t="n"/>
      <c r="H462" s="4" t="n"/>
      <c r="I462" s="4" t="n"/>
      <c r="J462" s="4" t="n"/>
      <c r="K462" s="4" t="n"/>
      <c r="L462" s="4" t="n"/>
      <c r="M462" s="4" t="n"/>
      <c r="N462" s="4" t="n"/>
      <c r="O462" s="4" t="n"/>
    </row>
    <row r="463">
      <c r="A463" s="4" t="n"/>
      <c r="B463" s="4" t="n"/>
      <c r="C463" s="4" t="n"/>
      <c r="D463" s="4" t="n"/>
      <c r="E463" s="4" t="n"/>
      <c r="F463" s="4" t="n"/>
      <c r="G463" s="4" t="n"/>
      <c r="H463" s="4" t="n"/>
      <c r="I463" s="4" t="n"/>
      <c r="J463" s="4" t="n"/>
      <c r="K463" s="4" t="n"/>
      <c r="L463" s="4" t="n"/>
      <c r="M463" s="4" t="n"/>
      <c r="N463" s="4" t="n"/>
      <c r="O463" s="4" t="n"/>
    </row>
    <row r="464">
      <c r="A464" s="4" t="n"/>
      <c r="B464" s="4" t="n"/>
      <c r="C464" s="4" t="n"/>
      <c r="D464" s="4" t="n"/>
      <c r="E464" s="4" t="n"/>
      <c r="F464" s="4" t="n"/>
      <c r="G464" s="4" t="n"/>
      <c r="H464" s="4" t="n"/>
      <c r="I464" s="4" t="n"/>
      <c r="J464" s="4" t="n"/>
      <c r="K464" s="4" t="n"/>
      <c r="L464" s="4" t="n"/>
      <c r="M464" s="4" t="n"/>
      <c r="N464" s="4" t="n"/>
      <c r="O464" s="4" t="n"/>
    </row>
    <row r="465">
      <c r="A465" s="4" t="n"/>
      <c r="B465" s="4" t="n"/>
      <c r="C465" s="4" t="n"/>
      <c r="D465" s="4" t="n"/>
      <c r="E465" s="4" t="n"/>
      <c r="F465" s="4" t="n"/>
      <c r="G465" s="4" t="n"/>
      <c r="H465" s="4" t="n"/>
      <c r="I465" s="4" t="n"/>
      <c r="J465" s="4" t="n"/>
      <c r="K465" s="4" t="n"/>
      <c r="L465" s="4" t="n"/>
      <c r="M465" s="4" t="n"/>
      <c r="N465" s="4" t="n"/>
      <c r="O465" s="4" t="n"/>
    </row>
    <row r="466">
      <c r="A466" s="4" t="n"/>
      <c r="B466" s="4" t="n"/>
      <c r="C466" s="4" t="n"/>
      <c r="D466" s="4" t="n"/>
      <c r="E466" s="4" t="n"/>
      <c r="F466" s="4" t="n"/>
      <c r="G466" s="4" t="n"/>
      <c r="H466" s="4" t="n"/>
      <c r="I466" s="4" t="n"/>
      <c r="J466" s="4" t="n"/>
      <c r="K466" s="4" t="n"/>
      <c r="L466" s="4" t="n"/>
      <c r="M466" s="4" t="n"/>
      <c r="N466" s="4" t="n"/>
      <c r="O466" s="4" t="n"/>
    </row>
    <row r="467">
      <c r="A467" s="4" t="n"/>
      <c r="B467" s="4" t="n"/>
      <c r="C467" s="4" t="n"/>
      <c r="D467" s="4" t="n"/>
      <c r="E467" s="4" t="n"/>
      <c r="F467" s="4" t="n"/>
      <c r="G467" s="4" t="n"/>
      <c r="H467" s="4" t="n"/>
      <c r="I467" s="4" t="n"/>
      <c r="J467" s="4" t="n"/>
      <c r="K467" s="4" t="n"/>
      <c r="L467" s="4" t="n"/>
      <c r="M467" s="4" t="n"/>
      <c r="N467" s="4" t="n"/>
      <c r="O467" s="4" t="n"/>
    </row>
    <row r="468">
      <c r="A468" s="4" t="n"/>
      <c r="B468" s="4" t="n"/>
      <c r="C468" s="4" t="n"/>
      <c r="D468" s="4" t="n"/>
      <c r="E468" s="4" t="n"/>
      <c r="F468" s="4" t="n"/>
      <c r="G468" s="4" t="n"/>
      <c r="H468" s="4" t="n"/>
      <c r="I468" s="4" t="n"/>
      <c r="J468" s="4" t="n"/>
      <c r="K468" s="4" t="n"/>
      <c r="L468" s="4" t="n"/>
      <c r="M468" s="4" t="n"/>
      <c r="N468" s="4" t="n"/>
      <c r="O468" s="4" t="n"/>
    </row>
    <row r="469">
      <c r="A469" s="4" t="n"/>
      <c r="B469" s="4" t="n"/>
      <c r="C469" s="4" t="n"/>
      <c r="D469" s="4" t="n"/>
      <c r="E469" s="4" t="n"/>
      <c r="F469" s="4" t="n"/>
      <c r="G469" s="4" t="n"/>
      <c r="H469" s="4" t="n"/>
      <c r="I469" s="4" t="n"/>
      <c r="J469" s="4" t="n"/>
      <c r="K469" s="4" t="n"/>
      <c r="L469" s="4" t="n"/>
      <c r="M469" s="4" t="n"/>
      <c r="N469" s="4" t="n"/>
      <c r="O469" s="4" t="n"/>
    </row>
    <row r="470">
      <c r="A470" s="4" t="n"/>
      <c r="B470" s="4" t="n"/>
      <c r="C470" s="4" t="n"/>
      <c r="D470" s="4" t="n"/>
      <c r="E470" s="4" t="n"/>
      <c r="F470" s="4" t="n"/>
      <c r="G470" s="4" t="n"/>
      <c r="H470" s="4" t="n"/>
      <c r="I470" s="4" t="n"/>
      <c r="J470" s="4" t="n"/>
      <c r="K470" s="4" t="n"/>
      <c r="L470" s="4" t="n"/>
      <c r="M470" s="4" t="n"/>
      <c r="N470" s="4" t="n"/>
      <c r="O470" s="4" t="n"/>
    </row>
    <row r="471">
      <c r="A471" s="4" t="n"/>
      <c r="B471" s="4" t="n"/>
      <c r="C471" s="4" t="n"/>
      <c r="D471" s="4" t="n"/>
      <c r="E471" s="4" t="n"/>
      <c r="F471" s="4" t="n"/>
      <c r="G471" s="4" t="n"/>
      <c r="H471" s="4" t="n"/>
      <c r="I471" s="4" t="n"/>
      <c r="J471" s="4" t="n"/>
      <c r="K471" s="4" t="n"/>
      <c r="L471" s="4" t="n"/>
      <c r="M471" s="4" t="n"/>
      <c r="N471" s="4" t="n"/>
      <c r="O471" s="4" t="n"/>
    </row>
    <row r="472">
      <c r="A472" s="4" t="n"/>
      <c r="B472" s="4" t="n"/>
      <c r="C472" s="4" t="n"/>
      <c r="D472" s="4" t="n"/>
      <c r="E472" s="4" t="n"/>
      <c r="F472" s="4" t="n"/>
      <c r="G472" s="4" t="n"/>
      <c r="H472" s="4" t="n"/>
      <c r="I472" s="4" t="n"/>
      <c r="J472" s="4" t="n"/>
      <c r="K472" s="4" t="n"/>
      <c r="L472" s="4" t="n"/>
      <c r="M472" s="4" t="n"/>
      <c r="N472" s="4" t="n"/>
      <c r="O472" s="4" t="n"/>
    </row>
    <row r="473">
      <c r="A473" s="4" t="n"/>
      <c r="B473" s="4" t="n"/>
      <c r="C473" s="4" t="n"/>
      <c r="D473" s="4" t="n"/>
      <c r="E473" s="4" t="n"/>
      <c r="F473" s="4" t="n"/>
      <c r="G473" s="4" t="n"/>
      <c r="H473" s="4" t="n"/>
      <c r="I473" s="4" t="n"/>
      <c r="J473" s="4" t="n"/>
      <c r="K473" s="4" t="n"/>
      <c r="L473" s="4" t="n"/>
      <c r="M473" s="4" t="n"/>
      <c r="N473" s="4" t="n"/>
      <c r="O473" s="4" t="n"/>
    </row>
    <row r="474">
      <c r="A474" s="4" t="n"/>
      <c r="B474" s="4" t="n"/>
      <c r="C474" s="4" t="n"/>
      <c r="D474" s="4" t="n"/>
      <c r="E474" s="4" t="n"/>
      <c r="F474" s="4" t="n"/>
      <c r="G474" s="4" t="n"/>
      <c r="H474" s="4" t="n"/>
      <c r="I474" s="4" t="n"/>
      <c r="J474" s="4" t="n"/>
      <c r="K474" s="4" t="n"/>
      <c r="L474" s="4" t="n"/>
      <c r="M474" s="4" t="n"/>
      <c r="N474" s="4" t="n"/>
      <c r="O474" s="4" t="n"/>
    </row>
    <row r="475">
      <c r="A475" s="4" t="n"/>
      <c r="B475" s="4" t="n"/>
      <c r="C475" s="4" t="n"/>
      <c r="D475" s="4" t="n"/>
      <c r="E475" s="4" t="n"/>
      <c r="F475" s="4" t="n"/>
      <c r="G475" s="4" t="n"/>
      <c r="H475" s="4" t="n"/>
      <c r="I475" s="4" t="n"/>
      <c r="J475" s="4" t="n"/>
      <c r="K475" s="4" t="n"/>
      <c r="L475" s="4" t="n"/>
      <c r="M475" s="4" t="n"/>
      <c r="N475" s="4" t="n"/>
      <c r="O475" s="4" t="n"/>
    </row>
    <row r="476">
      <c r="A476" s="4" t="n"/>
      <c r="B476" s="4" t="n"/>
      <c r="C476" s="4" t="n"/>
      <c r="D476" s="4" t="n"/>
      <c r="E476" s="4" t="n"/>
      <c r="F476" s="4" t="n"/>
      <c r="G476" s="4" t="n"/>
      <c r="H476" s="4" t="n"/>
      <c r="I476" s="4" t="n"/>
      <c r="J476" s="4" t="n"/>
      <c r="K476" s="4" t="n"/>
      <c r="L476" s="4" t="n"/>
      <c r="M476" s="4" t="n"/>
      <c r="N476" s="4" t="n"/>
      <c r="O476" s="4" t="n"/>
    </row>
    <row r="477">
      <c r="A477" s="4" t="n"/>
      <c r="B477" s="4" t="n"/>
      <c r="C477" s="4" t="n"/>
      <c r="D477" s="4" t="n"/>
      <c r="E477" s="4" t="n"/>
      <c r="F477" s="4" t="n"/>
      <c r="G477" s="4" t="n"/>
      <c r="H477" s="4" t="n"/>
      <c r="I477" s="4" t="n"/>
      <c r="J477" s="4" t="n"/>
      <c r="K477" s="4" t="n"/>
      <c r="L477" s="4" t="n"/>
      <c r="M477" s="4" t="n"/>
      <c r="N477" s="4" t="n"/>
      <c r="O477" s="4" t="n"/>
    </row>
    <row r="478">
      <c r="A478" s="4" t="n"/>
      <c r="B478" s="4" t="n"/>
      <c r="C478" s="4" t="n"/>
      <c r="D478" s="4" t="n"/>
      <c r="E478" s="4" t="n"/>
      <c r="F478" s="4" t="n"/>
      <c r="G478" s="4" t="n"/>
      <c r="H478" s="4" t="n"/>
      <c r="I478" s="4" t="n"/>
      <c r="J478" s="4" t="n"/>
      <c r="K478" s="4" t="n"/>
      <c r="L478" s="4" t="n"/>
      <c r="M478" s="4" t="n"/>
      <c r="N478" s="4" t="n"/>
      <c r="O478" s="4" t="n"/>
    </row>
    <row r="479">
      <c r="A479" s="4" t="n"/>
      <c r="B479" s="4" t="n"/>
      <c r="C479" s="4" t="n"/>
      <c r="D479" s="4" t="n"/>
      <c r="E479" s="4" t="n"/>
      <c r="F479" s="4" t="n"/>
      <c r="G479" s="4" t="n"/>
      <c r="H479" s="4" t="n"/>
      <c r="I479" s="4" t="n"/>
      <c r="J479" s="4" t="n"/>
      <c r="K479" s="4" t="n"/>
      <c r="L479" s="4" t="n"/>
      <c r="M479" s="4" t="n"/>
      <c r="N479" s="4" t="n"/>
      <c r="O479" s="4" t="n"/>
    </row>
    <row r="480">
      <c r="A480" s="4" t="n"/>
      <c r="B480" s="4" t="n"/>
      <c r="C480" s="4" t="n"/>
      <c r="D480" s="4" t="n"/>
      <c r="E480" s="4" t="n"/>
      <c r="F480" s="4" t="n"/>
      <c r="G480" s="4" t="n"/>
      <c r="H480" s="4" t="n"/>
      <c r="I480" s="4" t="n"/>
      <c r="J480" s="4" t="n"/>
      <c r="K480" s="4" t="n"/>
      <c r="L480" s="4" t="n"/>
      <c r="M480" s="4" t="n"/>
      <c r="N480" s="4" t="n"/>
      <c r="O480" s="4" t="n"/>
    </row>
    <row r="481">
      <c r="A481" s="4" t="n"/>
      <c r="B481" s="4" t="n"/>
      <c r="C481" s="4" t="n"/>
      <c r="D481" s="4" t="n"/>
      <c r="E481" s="4" t="n"/>
      <c r="F481" s="4" t="n"/>
      <c r="G481" s="4" t="n"/>
      <c r="H481" s="4" t="n"/>
      <c r="I481" s="4" t="n"/>
      <c r="J481" s="4" t="n"/>
      <c r="K481" s="4" t="n"/>
      <c r="L481" s="4" t="n"/>
      <c r="M481" s="4" t="n"/>
      <c r="N481" s="4" t="n"/>
      <c r="O481" s="4" t="n"/>
    </row>
    <row r="482">
      <c r="A482" s="4" t="n"/>
      <c r="B482" s="4" t="n"/>
      <c r="C482" s="4" t="n"/>
      <c r="D482" s="4" t="n"/>
      <c r="E482" s="4" t="n"/>
      <c r="F482" s="4" t="n"/>
      <c r="G482" s="4" t="n"/>
      <c r="H482" s="4" t="n"/>
      <c r="I482" s="4" t="n"/>
      <c r="J482" s="4" t="n"/>
      <c r="K482" s="4" t="n"/>
      <c r="L482" s="4" t="n"/>
      <c r="M482" s="4" t="n"/>
      <c r="N482" s="4" t="n"/>
      <c r="O482" s="4" t="n"/>
    </row>
    <row r="483">
      <c r="A483" s="4" t="n"/>
      <c r="B483" s="4" t="n"/>
      <c r="C483" s="4" t="n"/>
      <c r="D483" s="4" t="n"/>
      <c r="E483" s="4" t="n"/>
      <c r="F483" s="4" t="n"/>
      <c r="G483" s="4" t="n"/>
      <c r="H483" s="4" t="n"/>
      <c r="I483" s="4" t="n"/>
      <c r="J483" s="4" t="n"/>
      <c r="K483" s="4" t="n"/>
      <c r="L483" s="4" t="n"/>
      <c r="M483" s="4" t="n"/>
      <c r="N483" s="4" t="n"/>
      <c r="O483" s="4" t="n"/>
    </row>
    <row r="484">
      <c r="A484" s="4" t="n"/>
      <c r="B484" s="4" t="n"/>
      <c r="C484" s="4" t="n"/>
      <c r="D484" s="4" t="n"/>
      <c r="E484" s="4" t="n"/>
      <c r="F484" s="4" t="n"/>
      <c r="G484" s="4" t="n"/>
      <c r="H484" s="4" t="n"/>
      <c r="I484" s="4" t="n"/>
      <c r="J484" s="4" t="n"/>
      <c r="K484" s="4" t="n"/>
      <c r="L484" s="4" t="n"/>
      <c r="M484" s="4" t="n"/>
      <c r="N484" s="4" t="n"/>
      <c r="O484" s="4" t="n"/>
    </row>
    <row r="485">
      <c r="A485" s="4" t="n"/>
      <c r="B485" s="4" t="n"/>
      <c r="C485" s="4" t="n"/>
      <c r="D485" s="4" t="n"/>
      <c r="E485" s="4" t="n"/>
      <c r="F485" s="4" t="n"/>
      <c r="G485" s="4" t="n"/>
      <c r="H485" s="4" t="n"/>
      <c r="I485" s="4" t="n"/>
      <c r="J485" s="4" t="n"/>
      <c r="K485" s="4" t="n"/>
      <c r="L485" s="4" t="n"/>
      <c r="M485" s="4" t="n"/>
      <c r="N485" s="4" t="n"/>
      <c r="O485" s="4" t="n"/>
    </row>
    <row r="486">
      <c r="A486" s="4" t="n"/>
      <c r="B486" s="4" t="n"/>
      <c r="C486" s="4" t="n"/>
      <c r="D486" s="4" t="n"/>
      <c r="E486" s="4" t="n"/>
      <c r="F486" s="4" t="n"/>
      <c r="G486" s="4" t="n"/>
      <c r="H486" s="4" t="n"/>
      <c r="I486" s="4" t="n"/>
      <c r="J486" s="4" t="n"/>
      <c r="K486" s="4" t="n"/>
      <c r="L486" s="4" t="n"/>
      <c r="M486" s="4" t="n"/>
      <c r="N486" s="4" t="n"/>
      <c r="O486" s="4" t="n"/>
    </row>
    <row r="487">
      <c r="A487" s="4" t="n"/>
      <c r="B487" s="4" t="n"/>
      <c r="C487" s="4" t="n"/>
      <c r="D487" s="4" t="n"/>
      <c r="E487" s="4" t="n"/>
      <c r="F487" s="4" t="n"/>
      <c r="G487" s="4" t="n"/>
      <c r="H487" s="4" t="n"/>
      <c r="I487" s="4" t="n"/>
      <c r="J487" s="4" t="n"/>
      <c r="K487" s="4" t="n"/>
      <c r="L487" s="4" t="n"/>
      <c r="M487" s="4" t="n"/>
      <c r="N487" s="4" t="n"/>
      <c r="O487" s="4" t="n"/>
    </row>
    <row r="488">
      <c r="A488" s="4" t="n"/>
      <c r="B488" s="4" t="n"/>
      <c r="C488" s="4" t="n"/>
      <c r="D488" s="4" t="n"/>
      <c r="E488" s="4" t="n"/>
      <c r="F488" s="4" t="n"/>
      <c r="G488" s="4" t="n"/>
      <c r="H488" s="4" t="n"/>
      <c r="I488" s="4" t="n"/>
      <c r="J488" s="4" t="n"/>
      <c r="K488" s="4" t="n"/>
      <c r="L488" s="4" t="n"/>
      <c r="M488" s="4" t="n"/>
      <c r="N488" s="4" t="n"/>
      <c r="O488" s="4" t="n"/>
    </row>
    <row r="489">
      <c r="A489" s="4" t="n"/>
      <c r="B489" s="4" t="n"/>
      <c r="C489" s="4" t="n"/>
      <c r="D489" s="4" t="n"/>
      <c r="E489" s="4" t="n"/>
      <c r="F489" s="4" t="n"/>
      <c r="G489" s="4" t="n"/>
      <c r="H489" s="4" t="n"/>
      <c r="I489" s="4" t="n"/>
      <c r="J489" s="4" t="n"/>
      <c r="K489" s="4" t="n"/>
      <c r="L489" s="4" t="n"/>
      <c r="M489" s="4" t="n"/>
      <c r="N489" s="4" t="n"/>
      <c r="O489" s="4" t="n"/>
    </row>
    <row r="490">
      <c r="A490" s="4" t="n"/>
      <c r="B490" s="4" t="n"/>
      <c r="C490" s="4" t="n"/>
      <c r="D490" s="4" t="n"/>
      <c r="E490" s="4" t="n"/>
      <c r="F490" s="4" t="n"/>
      <c r="G490" s="4" t="n"/>
      <c r="H490" s="4" t="n"/>
      <c r="I490" s="4" t="n"/>
      <c r="J490" s="4" t="n"/>
      <c r="K490" s="4" t="n"/>
      <c r="L490" s="4" t="n"/>
      <c r="M490" s="4" t="n"/>
      <c r="N490" s="4" t="n"/>
      <c r="O490" s="4" t="n"/>
    </row>
    <row r="491">
      <c r="A491" s="4" t="n"/>
      <c r="B491" s="4" t="n"/>
      <c r="C491" s="4" t="n"/>
      <c r="D491" s="4" t="n"/>
      <c r="E491" s="4" t="n"/>
      <c r="F491" s="4" t="n"/>
      <c r="G491" s="4" t="n"/>
      <c r="H491" s="4" t="n"/>
      <c r="I491" s="4" t="n"/>
      <c r="J491" s="4" t="n"/>
      <c r="K491" s="4" t="n"/>
      <c r="L491" s="4" t="n"/>
      <c r="M491" s="4" t="n"/>
      <c r="N491" s="4" t="n"/>
      <c r="O491" s="4" t="n"/>
    </row>
    <row r="492">
      <c r="A492" s="4" t="n"/>
      <c r="B492" s="4" t="n"/>
      <c r="C492" s="4" t="n"/>
      <c r="D492" s="4" t="n"/>
      <c r="E492" s="4" t="n"/>
      <c r="F492" s="4" t="n"/>
      <c r="G492" s="4" t="n"/>
      <c r="H492" s="4" t="n"/>
      <c r="I492" s="4" t="n"/>
      <c r="J492" s="4" t="n"/>
      <c r="K492" s="4" t="n"/>
      <c r="L492" s="4" t="n"/>
      <c r="M492" s="4" t="n"/>
      <c r="N492" s="4" t="n"/>
      <c r="O492" s="4" t="n"/>
    </row>
    <row r="493">
      <c r="A493" s="4" t="n"/>
      <c r="B493" s="4" t="n"/>
      <c r="C493" s="4" t="n"/>
      <c r="D493" s="4" t="n"/>
      <c r="E493" s="4" t="n"/>
      <c r="F493" s="4" t="n"/>
      <c r="G493" s="4" t="n"/>
      <c r="H493" s="4" t="n"/>
      <c r="I493" s="4" t="n"/>
      <c r="J493" s="4" t="n"/>
      <c r="K493" s="4" t="n"/>
      <c r="L493" s="4" t="n"/>
      <c r="M493" s="4" t="n"/>
      <c r="N493" s="4" t="n"/>
      <c r="O493" s="4" t="n"/>
    </row>
    <row r="494">
      <c r="A494" s="4" t="n"/>
      <c r="B494" s="4" t="n"/>
      <c r="C494" s="4" t="n"/>
      <c r="D494" s="4" t="n"/>
      <c r="E494" s="4" t="n"/>
      <c r="F494" s="4" t="n"/>
      <c r="G494" s="4" t="n"/>
      <c r="H494" s="4" t="n"/>
      <c r="I494" s="4" t="n"/>
      <c r="J494" s="4" t="n"/>
      <c r="K494" s="4" t="n"/>
      <c r="L494" s="4" t="n"/>
      <c r="M494" s="4" t="n"/>
      <c r="N494" s="4" t="n"/>
      <c r="O494" s="4" t="n"/>
    </row>
    <row r="495">
      <c r="A495" s="4" t="n"/>
      <c r="B495" s="4" t="n"/>
      <c r="C495" s="4" t="n"/>
      <c r="D495" s="4" t="n"/>
      <c r="E495" s="4" t="n"/>
      <c r="F495" s="4" t="n"/>
      <c r="G495" s="4" t="n"/>
      <c r="H495" s="4" t="n"/>
      <c r="I495" s="4" t="n"/>
      <c r="J495" s="4" t="n"/>
      <c r="K495" s="4" t="n"/>
      <c r="L495" s="4" t="n"/>
      <c r="M495" s="4" t="n"/>
      <c r="N495" s="4" t="n"/>
      <c r="O495" s="4" t="n"/>
    </row>
    <row r="496">
      <c r="A496" s="4" t="n"/>
      <c r="B496" s="4" t="n"/>
      <c r="C496" s="4" t="n"/>
      <c r="D496" s="4" t="n"/>
      <c r="E496" s="4" t="n"/>
      <c r="F496" s="4" t="n"/>
      <c r="G496" s="4" t="n"/>
      <c r="H496" s="4" t="n"/>
      <c r="I496" s="4" t="n"/>
      <c r="J496" s="4" t="n"/>
      <c r="K496" s="4" t="n"/>
      <c r="L496" s="4" t="n"/>
      <c r="M496" s="4" t="n"/>
      <c r="N496" s="4" t="n"/>
      <c r="O496" s="4" t="n"/>
    </row>
    <row r="497">
      <c r="A497" s="4" t="n"/>
      <c r="B497" s="4" t="n"/>
      <c r="C497" s="4" t="n"/>
      <c r="D497" s="4" t="n"/>
      <c r="E497" s="4" t="n"/>
      <c r="F497" s="4" t="n"/>
      <c r="G497" s="4" t="n"/>
      <c r="H497" s="4" t="n"/>
      <c r="I497" s="4" t="n"/>
      <c r="J497" s="4" t="n"/>
      <c r="K497" s="4" t="n"/>
      <c r="L497" s="4" t="n"/>
      <c r="M497" s="4" t="n"/>
      <c r="N497" s="4" t="n"/>
      <c r="O497" s="4" t="n"/>
    </row>
    <row r="498">
      <c r="A498" s="4" t="n"/>
      <c r="B498" s="4" t="n"/>
      <c r="C498" s="4" t="n"/>
      <c r="D498" s="4" t="n"/>
      <c r="E498" s="4" t="n"/>
      <c r="F498" s="4" t="n"/>
      <c r="G498" s="4" t="n"/>
      <c r="H498" s="4" t="n"/>
      <c r="I498" s="4" t="n"/>
      <c r="J498" s="4" t="n"/>
      <c r="K498" s="4" t="n"/>
      <c r="L498" s="4" t="n"/>
      <c r="M498" s="4" t="n"/>
      <c r="N498" s="4" t="n"/>
      <c r="O498" s="4" t="n"/>
    </row>
    <row r="499">
      <c r="A499" s="4" t="n"/>
      <c r="B499" s="4" t="n"/>
      <c r="C499" s="4" t="n"/>
      <c r="D499" s="4" t="n"/>
      <c r="E499" s="4" t="n"/>
      <c r="F499" s="4" t="n"/>
      <c r="G499" s="4" t="n"/>
      <c r="H499" s="4" t="n"/>
      <c r="I499" s="4" t="n"/>
      <c r="J499" s="4" t="n"/>
      <c r="K499" s="4" t="n"/>
      <c r="L499" s="4" t="n"/>
      <c r="M499" s="4" t="n"/>
      <c r="N499" s="4" t="n"/>
      <c r="O499" s="4" t="n"/>
    </row>
    <row r="500">
      <c r="A500" s="4" t="n"/>
      <c r="B500" s="4" t="n"/>
      <c r="C500" s="4" t="n"/>
      <c r="D500" s="4" t="n"/>
      <c r="E500" s="4" t="n"/>
      <c r="F500" s="4" t="n"/>
      <c r="G500" s="4" t="n"/>
      <c r="H500" s="4" t="n"/>
      <c r="I500" s="4" t="n"/>
      <c r="J500" s="4" t="n"/>
      <c r="K500" s="4" t="n"/>
      <c r="L500" s="4" t="n"/>
      <c r="M500" s="4" t="n"/>
      <c r="N500" s="4" t="n"/>
      <c r="O500" s="4" t="n"/>
    </row>
    <row r="501">
      <c r="A501" s="4" t="n"/>
      <c r="B501" s="4" t="n"/>
      <c r="C501" s="4" t="n"/>
      <c r="D501" s="4" t="n"/>
      <c r="E501" s="4" t="n"/>
      <c r="F501" s="4" t="n"/>
      <c r="G501" s="4" t="n"/>
      <c r="H501" s="4" t="n"/>
      <c r="I501" s="4" t="n"/>
      <c r="J501" s="4" t="n"/>
      <c r="K501" s="4" t="n"/>
      <c r="L501" s="4" t="n"/>
      <c r="M501" s="4" t="n"/>
      <c r="N501" s="4" t="n"/>
      <c r="O501" s="4" t="n"/>
    </row>
  </sheetData>
  <dataValidations count="4">
    <dataValidation sqref="C2:C500" showDropDown="0" showInputMessage="0" showErrorMessage="0" allowBlank="1" type="list">
      <formula1>"Critical,High,Medium,Low"</formula1>
    </dataValidation>
    <dataValidation sqref="D2:D500" showDropDown="0" showInputMessage="0" showErrorMessage="0" allowBlank="1" type="list">
      <formula1>"Critical,High,Medium,Low"</formula1>
    </dataValidation>
    <dataValidation sqref="E2:E500" showDropDown="0" showInputMessage="0" showErrorMessage="0" allowBlank="1" type="list">
      <formula1>"New,Triaged,Assigned,Fixed,Ready for Retest,Closed,Reopened,Deferred,Rejected"</formula1>
    </dataValidation>
    <dataValidation sqref="N2:N500" showDropDown="0" showInputMessage="0" showErrorMessage="0" allowBlank="1" type="list">
      <formula1>"Not Run,Passed,Failed,Blocked"</formula1>
    </dataValidation>
  </dataValidations>
  <pageMargins left="0.3" right="0.3" top="0.5" bottom="0.5" header="0.2" footer="0.2"/>
  <pageSetup orientation="landscape" fitToHeight="0" fitToWidth="1"/>
  <headerFooter>
    <oddHeader/>
    <oddFooter>&amp;CJima — CARAVAN Lounge | Page &amp;P of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L104"/>
  <sheetViews>
    <sheetView showGridLines="0" workbookViewId="0">
      <pane ySplit="4" topLeftCell="A5" activePane="bottomLeft" state="frozen"/>
      <selection pane="bottomLeft" activeCell="A1" sqref="A1"/>
    </sheetView>
  </sheetViews>
  <sheetFormatPr baseColWidth="8" defaultRowHeight="15"/>
  <cols>
    <col width="16" customWidth="1" min="1" max="1"/>
    <col width="22" customWidth="1" min="2" max="2"/>
    <col width="24" customWidth="1" min="3" max="3"/>
    <col width="12" customWidth="1" min="4" max="4"/>
    <col width="12" customWidth="1" min="5" max="5"/>
    <col width="12" customWidth="1" min="6" max="6"/>
    <col width="12" customWidth="1" min="7" max="7"/>
    <col width="12" customWidth="1" min="8" max="8"/>
    <col width="12" customWidth="1" min="9" max="9"/>
    <col width="16" customWidth="1" min="10" max="10"/>
    <col width="18" customWidth="1" min="11" max="11"/>
    <col width="35" customWidth="1" min="12" max="12"/>
  </cols>
  <sheetData>
    <row r="1">
      <c r="A1" s="1" t="inlineStr">
        <is>
          <t>Daily Execution Summary</t>
        </is>
      </c>
    </row>
    <row r="2">
      <c r="A2" s="2" t="inlineStr">
        <is>
          <t>Enter date/tester/environment; execution counts are formula-driven from Test Cases.</t>
        </is>
      </c>
    </row>
    <row r="3"/>
    <row r="4">
      <c r="A4" s="3" t="inlineStr">
        <is>
          <t>Date</t>
        </is>
      </c>
      <c r="B4" s="3" t="inlineStr">
        <is>
          <t>Tester</t>
        </is>
      </c>
      <c r="C4" s="3" t="inlineStr">
        <is>
          <t>Environment</t>
        </is>
      </c>
      <c r="D4" s="3" t="inlineStr">
        <is>
          <t>Planned</t>
        </is>
      </c>
      <c r="E4" s="3" t="inlineStr">
        <is>
          <t>Executed</t>
        </is>
      </c>
      <c r="F4" s="3" t="inlineStr">
        <is>
          <t>Passed</t>
        </is>
      </c>
      <c r="G4" s="3" t="inlineStr">
        <is>
          <t>Failed</t>
        </is>
      </c>
      <c r="H4" s="3" t="inlineStr">
        <is>
          <t>Blocked</t>
        </is>
      </c>
      <c r="I4" s="3" t="inlineStr">
        <is>
          <t>Pass %</t>
        </is>
      </c>
      <c r="J4" s="3" t="inlineStr">
        <is>
          <t>Defects opened</t>
        </is>
      </c>
      <c r="K4" s="3" t="inlineStr">
        <is>
          <t>Critical/High open</t>
        </is>
      </c>
      <c r="L4" s="3" t="inlineStr">
        <is>
          <t>Notes</t>
        </is>
      </c>
    </row>
    <row r="5">
      <c r="A5" s="5" t="n"/>
      <c r="B5" s="5" t="n"/>
      <c r="C5" s="5" t="n"/>
      <c r="D5" s="5">
        <f>COUNTIFS('Test Cases'!$V:$V,A5,'Test Cases'!$U:$U,B5,'Test Cases'!$W:$W,C5)</f>
        <v/>
      </c>
      <c r="E5" s="5">
        <f>SUM(F5:H5)</f>
        <v/>
      </c>
      <c r="F5" s="5">
        <f>COUNTIFS('Test Cases'!$V:$V,A5,'Test Cases'!$U:$U,B5,'Test Cases'!$W:$W,C5,'Test Cases'!$R:$R,"Passed")</f>
        <v/>
      </c>
      <c r="G5" s="5">
        <f>COUNTIFS('Test Cases'!$V:$V,A5,'Test Cases'!$U:$U,B5,'Test Cases'!$W:$W,C5,'Test Cases'!$R:$R,"Failed")</f>
        <v/>
      </c>
      <c r="H5" s="5">
        <f>COUNTIFS('Test Cases'!$V:$V,A5,'Test Cases'!$U:$U,B5,'Test Cases'!$W:$W,C5,'Test Cases'!$R:$R,"Blocked")</f>
        <v/>
      </c>
      <c r="I5" s="6">
        <f>IFERROR(F5/E5,0)</f>
        <v/>
      </c>
      <c r="J5" s="5">
        <f>COUNTIF('Defect Log'!$M:$M,A5)</f>
        <v/>
      </c>
      <c r="K5" s="5">
        <f>COUNTIFS('Defect Log'!$C:$C,"Critical",'Defect Log'!$E:$E,"&lt;&gt;Closed")+COUNTIFS('Defect Log'!$C:$C,"High",'Defect Log'!$E:$E,"&lt;&gt;Closed")</f>
        <v/>
      </c>
      <c r="L5" s="5" t="n"/>
    </row>
    <row r="6">
      <c r="A6" s="5" t="n"/>
      <c r="B6" s="5" t="n"/>
      <c r="C6" s="5" t="n"/>
      <c r="D6" s="5">
        <f>COUNTIFS('Test Cases'!$V:$V,A6,'Test Cases'!$U:$U,B6,'Test Cases'!$W:$W,C6)</f>
        <v/>
      </c>
      <c r="E6" s="5">
        <f>SUM(F6:H6)</f>
        <v/>
      </c>
      <c r="F6" s="5">
        <f>COUNTIFS('Test Cases'!$V:$V,A6,'Test Cases'!$U:$U,B6,'Test Cases'!$W:$W,C6,'Test Cases'!$R:$R,"Passed")</f>
        <v/>
      </c>
      <c r="G6" s="5">
        <f>COUNTIFS('Test Cases'!$V:$V,A6,'Test Cases'!$U:$U,B6,'Test Cases'!$W:$W,C6,'Test Cases'!$R:$R,"Failed")</f>
        <v/>
      </c>
      <c r="H6" s="5">
        <f>COUNTIFS('Test Cases'!$V:$V,A6,'Test Cases'!$U:$U,B6,'Test Cases'!$W:$W,C6,'Test Cases'!$R:$R,"Blocked")</f>
        <v/>
      </c>
      <c r="I6" s="6">
        <f>IFERROR(F6/E6,0)</f>
        <v/>
      </c>
      <c r="J6" s="5">
        <f>COUNTIF('Defect Log'!$M:$M,A6)</f>
        <v/>
      </c>
      <c r="K6" s="5">
        <f>COUNTIFS('Defect Log'!$C:$C,"Critical",'Defect Log'!$E:$E,"&lt;&gt;Closed")+COUNTIFS('Defect Log'!$C:$C,"High",'Defect Log'!$E:$E,"&lt;&gt;Closed")</f>
        <v/>
      </c>
      <c r="L6" s="5" t="n"/>
    </row>
    <row r="7">
      <c r="A7" s="5" t="n"/>
      <c r="B7" s="5" t="n"/>
      <c r="C7" s="5" t="n"/>
      <c r="D7" s="5">
        <f>COUNTIFS('Test Cases'!$V:$V,A7,'Test Cases'!$U:$U,B7,'Test Cases'!$W:$W,C7)</f>
        <v/>
      </c>
      <c r="E7" s="5">
        <f>SUM(F7:H7)</f>
        <v/>
      </c>
      <c r="F7" s="5">
        <f>COUNTIFS('Test Cases'!$V:$V,A7,'Test Cases'!$U:$U,B7,'Test Cases'!$W:$W,C7,'Test Cases'!$R:$R,"Passed")</f>
        <v/>
      </c>
      <c r="G7" s="5">
        <f>COUNTIFS('Test Cases'!$V:$V,A7,'Test Cases'!$U:$U,B7,'Test Cases'!$W:$W,C7,'Test Cases'!$R:$R,"Failed")</f>
        <v/>
      </c>
      <c r="H7" s="5">
        <f>COUNTIFS('Test Cases'!$V:$V,A7,'Test Cases'!$U:$U,B7,'Test Cases'!$W:$W,C7,'Test Cases'!$R:$R,"Blocked")</f>
        <v/>
      </c>
      <c r="I7" s="6">
        <f>IFERROR(F7/E7,0)</f>
        <v/>
      </c>
      <c r="J7" s="5">
        <f>COUNTIF('Defect Log'!$M:$M,A7)</f>
        <v/>
      </c>
      <c r="K7" s="5">
        <f>COUNTIFS('Defect Log'!$C:$C,"Critical",'Defect Log'!$E:$E,"&lt;&gt;Closed")+COUNTIFS('Defect Log'!$C:$C,"High",'Defect Log'!$E:$E,"&lt;&gt;Closed")</f>
        <v/>
      </c>
      <c r="L7" s="5" t="n"/>
    </row>
    <row r="8">
      <c r="A8" s="5" t="n"/>
      <c r="B8" s="5" t="n"/>
      <c r="C8" s="5" t="n"/>
      <c r="D8" s="5">
        <f>COUNTIFS('Test Cases'!$V:$V,A8,'Test Cases'!$U:$U,B8,'Test Cases'!$W:$W,C8)</f>
        <v/>
      </c>
      <c r="E8" s="5">
        <f>SUM(F8:H8)</f>
        <v/>
      </c>
      <c r="F8" s="5">
        <f>COUNTIFS('Test Cases'!$V:$V,A8,'Test Cases'!$U:$U,B8,'Test Cases'!$W:$W,C8,'Test Cases'!$R:$R,"Passed")</f>
        <v/>
      </c>
      <c r="G8" s="5">
        <f>COUNTIFS('Test Cases'!$V:$V,A8,'Test Cases'!$U:$U,B8,'Test Cases'!$W:$W,C8,'Test Cases'!$R:$R,"Failed")</f>
        <v/>
      </c>
      <c r="H8" s="5">
        <f>COUNTIFS('Test Cases'!$V:$V,A8,'Test Cases'!$U:$U,B8,'Test Cases'!$W:$W,C8,'Test Cases'!$R:$R,"Blocked")</f>
        <v/>
      </c>
      <c r="I8" s="6">
        <f>IFERROR(F8/E8,0)</f>
        <v/>
      </c>
      <c r="J8" s="5">
        <f>COUNTIF('Defect Log'!$M:$M,A8)</f>
        <v/>
      </c>
      <c r="K8" s="5">
        <f>COUNTIFS('Defect Log'!$C:$C,"Critical",'Defect Log'!$E:$E,"&lt;&gt;Closed")+COUNTIFS('Defect Log'!$C:$C,"High",'Defect Log'!$E:$E,"&lt;&gt;Closed")</f>
        <v/>
      </c>
      <c r="L8" s="5" t="n"/>
    </row>
    <row r="9">
      <c r="A9" s="5" t="n"/>
      <c r="B9" s="5" t="n"/>
      <c r="C9" s="5" t="n"/>
      <c r="D9" s="5">
        <f>COUNTIFS('Test Cases'!$V:$V,A9,'Test Cases'!$U:$U,B9,'Test Cases'!$W:$W,C9)</f>
        <v/>
      </c>
      <c r="E9" s="5">
        <f>SUM(F9:H9)</f>
        <v/>
      </c>
      <c r="F9" s="5">
        <f>COUNTIFS('Test Cases'!$V:$V,A9,'Test Cases'!$U:$U,B9,'Test Cases'!$W:$W,C9,'Test Cases'!$R:$R,"Passed")</f>
        <v/>
      </c>
      <c r="G9" s="5">
        <f>COUNTIFS('Test Cases'!$V:$V,A9,'Test Cases'!$U:$U,B9,'Test Cases'!$W:$W,C9,'Test Cases'!$R:$R,"Failed")</f>
        <v/>
      </c>
      <c r="H9" s="5">
        <f>COUNTIFS('Test Cases'!$V:$V,A9,'Test Cases'!$U:$U,B9,'Test Cases'!$W:$W,C9,'Test Cases'!$R:$R,"Blocked")</f>
        <v/>
      </c>
      <c r="I9" s="6">
        <f>IFERROR(F9/E9,0)</f>
        <v/>
      </c>
      <c r="J9" s="5">
        <f>COUNTIF('Defect Log'!$M:$M,A9)</f>
        <v/>
      </c>
      <c r="K9" s="5">
        <f>COUNTIFS('Defect Log'!$C:$C,"Critical",'Defect Log'!$E:$E,"&lt;&gt;Closed")+COUNTIFS('Defect Log'!$C:$C,"High",'Defect Log'!$E:$E,"&lt;&gt;Closed")</f>
        <v/>
      </c>
      <c r="L9" s="5" t="n"/>
    </row>
    <row r="10">
      <c r="A10" s="5" t="n"/>
      <c r="B10" s="5" t="n"/>
      <c r="C10" s="5" t="n"/>
      <c r="D10" s="5">
        <f>COUNTIFS('Test Cases'!$V:$V,A10,'Test Cases'!$U:$U,B10,'Test Cases'!$W:$W,C10)</f>
        <v/>
      </c>
      <c r="E10" s="5">
        <f>SUM(F10:H10)</f>
        <v/>
      </c>
      <c r="F10" s="5">
        <f>COUNTIFS('Test Cases'!$V:$V,A10,'Test Cases'!$U:$U,B10,'Test Cases'!$W:$W,C10,'Test Cases'!$R:$R,"Passed")</f>
        <v/>
      </c>
      <c r="G10" s="5">
        <f>COUNTIFS('Test Cases'!$V:$V,A10,'Test Cases'!$U:$U,B10,'Test Cases'!$W:$W,C10,'Test Cases'!$R:$R,"Failed")</f>
        <v/>
      </c>
      <c r="H10" s="5">
        <f>COUNTIFS('Test Cases'!$V:$V,A10,'Test Cases'!$U:$U,B10,'Test Cases'!$W:$W,C10,'Test Cases'!$R:$R,"Blocked")</f>
        <v/>
      </c>
      <c r="I10" s="6">
        <f>IFERROR(F10/E10,0)</f>
        <v/>
      </c>
      <c r="J10" s="5">
        <f>COUNTIF('Defect Log'!$M:$M,A10)</f>
        <v/>
      </c>
      <c r="K10" s="5">
        <f>COUNTIFS('Defect Log'!$C:$C,"Critical",'Defect Log'!$E:$E,"&lt;&gt;Closed")+COUNTIFS('Defect Log'!$C:$C,"High",'Defect Log'!$E:$E,"&lt;&gt;Closed")</f>
        <v/>
      </c>
      <c r="L10" s="5" t="n"/>
    </row>
    <row r="11">
      <c r="A11" s="5" t="n"/>
      <c r="B11" s="5" t="n"/>
      <c r="C11" s="5" t="n"/>
      <c r="D11" s="5">
        <f>COUNTIFS('Test Cases'!$V:$V,A11,'Test Cases'!$U:$U,B11,'Test Cases'!$W:$W,C11)</f>
        <v/>
      </c>
      <c r="E11" s="5">
        <f>SUM(F11:H11)</f>
        <v/>
      </c>
      <c r="F11" s="5">
        <f>COUNTIFS('Test Cases'!$V:$V,A11,'Test Cases'!$U:$U,B11,'Test Cases'!$W:$W,C11,'Test Cases'!$R:$R,"Passed")</f>
        <v/>
      </c>
      <c r="G11" s="5">
        <f>COUNTIFS('Test Cases'!$V:$V,A11,'Test Cases'!$U:$U,B11,'Test Cases'!$W:$W,C11,'Test Cases'!$R:$R,"Failed")</f>
        <v/>
      </c>
      <c r="H11" s="5">
        <f>COUNTIFS('Test Cases'!$V:$V,A11,'Test Cases'!$U:$U,B11,'Test Cases'!$W:$W,C11,'Test Cases'!$R:$R,"Blocked")</f>
        <v/>
      </c>
      <c r="I11" s="6">
        <f>IFERROR(F11/E11,0)</f>
        <v/>
      </c>
      <c r="J11" s="5">
        <f>COUNTIF('Defect Log'!$M:$M,A11)</f>
        <v/>
      </c>
      <c r="K11" s="5">
        <f>COUNTIFS('Defect Log'!$C:$C,"Critical",'Defect Log'!$E:$E,"&lt;&gt;Closed")+COUNTIFS('Defect Log'!$C:$C,"High",'Defect Log'!$E:$E,"&lt;&gt;Closed")</f>
        <v/>
      </c>
      <c r="L11" s="5" t="n"/>
    </row>
    <row r="12">
      <c r="A12" s="5" t="n"/>
      <c r="B12" s="5" t="n"/>
      <c r="C12" s="5" t="n"/>
      <c r="D12" s="5">
        <f>COUNTIFS('Test Cases'!$V:$V,A12,'Test Cases'!$U:$U,B12,'Test Cases'!$W:$W,C12)</f>
        <v/>
      </c>
      <c r="E12" s="5">
        <f>SUM(F12:H12)</f>
        <v/>
      </c>
      <c r="F12" s="5">
        <f>COUNTIFS('Test Cases'!$V:$V,A12,'Test Cases'!$U:$U,B12,'Test Cases'!$W:$W,C12,'Test Cases'!$R:$R,"Passed")</f>
        <v/>
      </c>
      <c r="G12" s="5">
        <f>COUNTIFS('Test Cases'!$V:$V,A12,'Test Cases'!$U:$U,B12,'Test Cases'!$W:$W,C12,'Test Cases'!$R:$R,"Failed")</f>
        <v/>
      </c>
      <c r="H12" s="5">
        <f>COUNTIFS('Test Cases'!$V:$V,A12,'Test Cases'!$U:$U,B12,'Test Cases'!$W:$W,C12,'Test Cases'!$R:$R,"Blocked")</f>
        <v/>
      </c>
      <c r="I12" s="6">
        <f>IFERROR(F12/E12,0)</f>
        <v/>
      </c>
      <c r="J12" s="5">
        <f>COUNTIF('Defect Log'!$M:$M,A12)</f>
        <v/>
      </c>
      <c r="K12" s="5">
        <f>COUNTIFS('Defect Log'!$C:$C,"Critical",'Defect Log'!$E:$E,"&lt;&gt;Closed")+COUNTIFS('Defect Log'!$C:$C,"High",'Defect Log'!$E:$E,"&lt;&gt;Closed")</f>
        <v/>
      </c>
      <c r="L12" s="5" t="n"/>
    </row>
    <row r="13">
      <c r="A13" s="5" t="n"/>
      <c r="B13" s="5" t="n"/>
      <c r="C13" s="5" t="n"/>
      <c r="D13" s="5">
        <f>COUNTIFS('Test Cases'!$V:$V,A13,'Test Cases'!$U:$U,B13,'Test Cases'!$W:$W,C13)</f>
        <v/>
      </c>
      <c r="E13" s="5">
        <f>SUM(F13:H13)</f>
        <v/>
      </c>
      <c r="F13" s="5">
        <f>COUNTIFS('Test Cases'!$V:$V,A13,'Test Cases'!$U:$U,B13,'Test Cases'!$W:$W,C13,'Test Cases'!$R:$R,"Passed")</f>
        <v/>
      </c>
      <c r="G13" s="5">
        <f>COUNTIFS('Test Cases'!$V:$V,A13,'Test Cases'!$U:$U,B13,'Test Cases'!$W:$W,C13,'Test Cases'!$R:$R,"Failed")</f>
        <v/>
      </c>
      <c r="H13" s="5">
        <f>COUNTIFS('Test Cases'!$V:$V,A13,'Test Cases'!$U:$U,B13,'Test Cases'!$W:$W,C13,'Test Cases'!$R:$R,"Blocked")</f>
        <v/>
      </c>
      <c r="I13" s="6">
        <f>IFERROR(F13/E13,0)</f>
        <v/>
      </c>
      <c r="J13" s="5">
        <f>COUNTIF('Defect Log'!$M:$M,A13)</f>
        <v/>
      </c>
      <c r="K13" s="5">
        <f>COUNTIFS('Defect Log'!$C:$C,"Critical",'Defect Log'!$E:$E,"&lt;&gt;Closed")+COUNTIFS('Defect Log'!$C:$C,"High",'Defect Log'!$E:$E,"&lt;&gt;Closed")</f>
        <v/>
      </c>
      <c r="L13" s="5" t="n"/>
    </row>
    <row r="14">
      <c r="A14" s="5" t="n"/>
      <c r="B14" s="5" t="n"/>
      <c r="C14" s="5" t="n"/>
      <c r="D14" s="5">
        <f>COUNTIFS('Test Cases'!$V:$V,A14,'Test Cases'!$U:$U,B14,'Test Cases'!$W:$W,C14)</f>
        <v/>
      </c>
      <c r="E14" s="5">
        <f>SUM(F14:H14)</f>
        <v/>
      </c>
      <c r="F14" s="5">
        <f>COUNTIFS('Test Cases'!$V:$V,A14,'Test Cases'!$U:$U,B14,'Test Cases'!$W:$W,C14,'Test Cases'!$R:$R,"Passed")</f>
        <v/>
      </c>
      <c r="G14" s="5">
        <f>COUNTIFS('Test Cases'!$V:$V,A14,'Test Cases'!$U:$U,B14,'Test Cases'!$W:$W,C14,'Test Cases'!$R:$R,"Failed")</f>
        <v/>
      </c>
      <c r="H14" s="5">
        <f>COUNTIFS('Test Cases'!$V:$V,A14,'Test Cases'!$U:$U,B14,'Test Cases'!$W:$W,C14,'Test Cases'!$R:$R,"Blocked")</f>
        <v/>
      </c>
      <c r="I14" s="6">
        <f>IFERROR(F14/E14,0)</f>
        <v/>
      </c>
      <c r="J14" s="5">
        <f>COUNTIF('Defect Log'!$M:$M,A14)</f>
        <v/>
      </c>
      <c r="K14" s="5">
        <f>COUNTIFS('Defect Log'!$C:$C,"Critical",'Defect Log'!$E:$E,"&lt;&gt;Closed")+COUNTIFS('Defect Log'!$C:$C,"High",'Defect Log'!$E:$E,"&lt;&gt;Closed")</f>
        <v/>
      </c>
      <c r="L14" s="5" t="n"/>
    </row>
    <row r="15">
      <c r="A15" s="5" t="n"/>
      <c r="B15" s="5" t="n"/>
      <c r="C15" s="5" t="n"/>
      <c r="D15" s="5">
        <f>COUNTIFS('Test Cases'!$V:$V,A15,'Test Cases'!$U:$U,B15,'Test Cases'!$W:$W,C15)</f>
        <v/>
      </c>
      <c r="E15" s="5">
        <f>SUM(F15:H15)</f>
        <v/>
      </c>
      <c r="F15" s="5">
        <f>COUNTIFS('Test Cases'!$V:$V,A15,'Test Cases'!$U:$U,B15,'Test Cases'!$W:$W,C15,'Test Cases'!$R:$R,"Passed")</f>
        <v/>
      </c>
      <c r="G15" s="5">
        <f>COUNTIFS('Test Cases'!$V:$V,A15,'Test Cases'!$U:$U,B15,'Test Cases'!$W:$W,C15,'Test Cases'!$R:$R,"Failed")</f>
        <v/>
      </c>
      <c r="H15" s="5">
        <f>COUNTIFS('Test Cases'!$V:$V,A15,'Test Cases'!$U:$U,B15,'Test Cases'!$W:$W,C15,'Test Cases'!$R:$R,"Blocked")</f>
        <v/>
      </c>
      <c r="I15" s="6">
        <f>IFERROR(F15/E15,0)</f>
        <v/>
      </c>
      <c r="J15" s="5">
        <f>COUNTIF('Defect Log'!$M:$M,A15)</f>
        <v/>
      </c>
      <c r="K15" s="5">
        <f>COUNTIFS('Defect Log'!$C:$C,"Critical",'Defect Log'!$E:$E,"&lt;&gt;Closed")+COUNTIFS('Defect Log'!$C:$C,"High",'Defect Log'!$E:$E,"&lt;&gt;Closed")</f>
        <v/>
      </c>
      <c r="L15" s="5" t="n"/>
    </row>
    <row r="16">
      <c r="A16" s="5" t="n"/>
      <c r="B16" s="5" t="n"/>
      <c r="C16" s="5" t="n"/>
      <c r="D16" s="5">
        <f>COUNTIFS('Test Cases'!$V:$V,A16,'Test Cases'!$U:$U,B16,'Test Cases'!$W:$W,C16)</f>
        <v/>
      </c>
      <c r="E16" s="5">
        <f>SUM(F16:H16)</f>
        <v/>
      </c>
      <c r="F16" s="5">
        <f>COUNTIFS('Test Cases'!$V:$V,A16,'Test Cases'!$U:$U,B16,'Test Cases'!$W:$W,C16,'Test Cases'!$R:$R,"Passed")</f>
        <v/>
      </c>
      <c r="G16" s="5">
        <f>COUNTIFS('Test Cases'!$V:$V,A16,'Test Cases'!$U:$U,B16,'Test Cases'!$W:$W,C16,'Test Cases'!$R:$R,"Failed")</f>
        <v/>
      </c>
      <c r="H16" s="5">
        <f>COUNTIFS('Test Cases'!$V:$V,A16,'Test Cases'!$U:$U,B16,'Test Cases'!$W:$W,C16,'Test Cases'!$R:$R,"Blocked")</f>
        <v/>
      </c>
      <c r="I16" s="6">
        <f>IFERROR(F16/E16,0)</f>
        <v/>
      </c>
      <c r="J16" s="5">
        <f>COUNTIF('Defect Log'!$M:$M,A16)</f>
        <v/>
      </c>
      <c r="K16" s="5">
        <f>COUNTIFS('Defect Log'!$C:$C,"Critical",'Defect Log'!$E:$E,"&lt;&gt;Closed")+COUNTIFS('Defect Log'!$C:$C,"High",'Defect Log'!$E:$E,"&lt;&gt;Closed")</f>
        <v/>
      </c>
      <c r="L16" s="5" t="n"/>
    </row>
    <row r="17">
      <c r="A17" s="5" t="n"/>
      <c r="B17" s="5" t="n"/>
      <c r="C17" s="5" t="n"/>
      <c r="D17" s="5">
        <f>COUNTIFS('Test Cases'!$V:$V,A17,'Test Cases'!$U:$U,B17,'Test Cases'!$W:$W,C17)</f>
        <v/>
      </c>
      <c r="E17" s="5">
        <f>SUM(F17:H17)</f>
        <v/>
      </c>
      <c r="F17" s="5">
        <f>COUNTIFS('Test Cases'!$V:$V,A17,'Test Cases'!$U:$U,B17,'Test Cases'!$W:$W,C17,'Test Cases'!$R:$R,"Passed")</f>
        <v/>
      </c>
      <c r="G17" s="5">
        <f>COUNTIFS('Test Cases'!$V:$V,A17,'Test Cases'!$U:$U,B17,'Test Cases'!$W:$W,C17,'Test Cases'!$R:$R,"Failed")</f>
        <v/>
      </c>
      <c r="H17" s="5">
        <f>COUNTIFS('Test Cases'!$V:$V,A17,'Test Cases'!$U:$U,B17,'Test Cases'!$W:$W,C17,'Test Cases'!$R:$R,"Blocked")</f>
        <v/>
      </c>
      <c r="I17" s="6">
        <f>IFERROR(F17/E17,0)</f>
        <v/>
      </c>
      <c r="J17" s="5">
        <f>COUNTIF('Defect Log'!$M:$M,A17)</f>
        <v/>
      </c>
      <c r="K17" s="5">
        <f>COUNTIFS('Defect Log'!$C:$C,"Critical",'Defect Log'!$E:$E,"&lt;&gt;Closed")+COUNTIFS('Defect Log'!$C:$C,"High",'Defect Log'!$E:$E,"&lt;&gt;Closed")</f>
        <v/>
      </c>
      <c r="L17" s="5" t="n"/>
    </row>
    <row r="18">
      <c r="A18" s="5" t="n"/>
      <c r="B18" s="5" t="n"/>
      <c r="C18" s="5" t="n"/>
      <c r="D18" s="5">
        <f>COUNTIFS('Test Cases'!$V:$V,A18,'Test Cases'!$U:$U,B18,'Test Cases'!$W:$W,C18)</f>
        <v/>
      </c>
      <c r="E18" s="5">
        <f>SUM(F18:H18)</f>
        <v/>
      </c>
      <c r="F18" s="5">
        <f>COUNTIFS('Test Cases'!$V:$V,A18,'Test Cases'!$U:$U,B18,'Test Cases'!$W:$W,C18,'Test Cases'!$R:$R,"Passed")</f>
        <v/>
      </c>
      <c r="G18" s="5">
        <f>COUNTIFS('Test Cases'!$V:$V,A18,'Test Cases'!$U:$U,B18,'Test Cases'!$W:$W,C18,'Test Cases'!$R:$R,"Failed")</f>
        <v/>
      </c>
      <c r="H18" s="5">
        <f>COUNTIFS('Test Cases'!$V:$V,A18,'Test Cases'!$U:$U,B18,'Test Cases'!$W:$W,C18,'Test Cases'!$R:$R,"Blocked")</f>
        <v/>
      </c>
      <c r="I18" s="6">
        <f>IFERROR(F18/E18,0)</f>
        <v/>
      </c>
      <c r="J18" s="5">
        <f>COUNTIF('Defect Log'!$M:$M,A18)</f>
        <v/>
      </c>
      <c r="K18" s="5">
        <f>COUNTIFS('Defect Log'!$C:$C,"Critical",'Defect Log'!$E:$E,"&lt;&gt;Closed")+COUNTIFS('Defect Log'!$C:$C,"High",'Defect Log'!$E:$E,"&lt;&gt;Closed")</f>
        <v/>
      </c>
      <c r="L18" s="5" t="n"/>
    </row>
    <row r="19">
      <c r="A19" s="5" t="n"/>
      <c r="B19" s="5" t="n"/>
      <c r="C19" s="5" t="n"/>
      <c r="D19" s="5">
        <f>COUNTIFS('Test Cases'!$V:$V,A19,'Test Cases'!$U:$U,B19,'Test Cases'!$W:$W,C19)</f>
        <v/>
      </c>
      <c r="E19" s="5">
        <f>SUM(F19:H19)</f>
        <v/>
      </c>
      <c r="F19" s="5">
        <f>COUNTIFS('Test Cases'!$V:$V,A19,'Test Cases'!$U:$U,B19,'Test Cases'!$W:$W,C19,'Test Cases'!$R:$R,"Passed")</f>
        <v/>
      </c>
      <c r="G19" s="5">
        <f>COUNTIFS('Test Cases'!$V:$V,A19,'Test Cases'!$U:$U,B19,'Test Cases'!$W:$W,C19,'Test Cases'!$R:$R,"Failed")</f>
        <v/>
      </c>
      <c r="H19" s="5">
        <f>COUNTIFS('Test Cases'!$V:$V,A19,'Test Cases'!$U:$U,B19,'Test Cases'!$W:$W,C19,'Test Cases'!$R:$R,"Blocked")</f>
        <v/>
      </c>
      <c r="I19" s="6">
        <f>IFERROR(F19/E19,0)</f>
        <v/>
      </c>
      <c r="J19" s="5">
        <f>COUNTIF('Defect Log'!$M:$M,A19)</f>
        <v/>
      </c>
      <c r="K19" s="5">
        <f>COUNTIFS('Defect Log'!$C:$C,"Critical",'Defect Log'!$E:$E,"&lt;&gt;Closed")+COUNTIFS('Defect Log'!$C:$C,"High",'Defect Log'!$E:$E,"&lt;&gt;Closed")</f>
        <v/>
      </c>
      <c r="L19" s="5" t="n"/>
    </row>
    <row r="20">
      <c r="A20" s="5" t="n"/>
      <c r="B20" s="5" t="n"/>
      <c r="C20" s="5" t="n"/>
      <c r="D20" s="5">
        <f>COUNTIFS('Test Cases'!$V:$V,A20,'Test Cases'!$U:$U,B20,'Test Cases'!$W:$W,C20)</f>
        <v/>
      </c>
      <c r="E20" s="5">
        <f>SUM(F20:H20)</f>
        <v/>
      </c>
      <c r="F20" s="5">
        <f>COUNTIFS('Test Cases'!$V:$V,A20,'Test Cases'!$U:$U,B20,'Test Cases'!$W:$W,C20,'Test Cases'!$R:$R,"Passed")</f>
        <v/>
      </c>
      <c r="G20" s="5">
        <f>COUNTIFS('Test Cases'!$V:$V,A20,'Test Cases'!$U:$U,B20,'Test Cases'!$W:$W,C20,'Test Cases'!$R:$R,"Failed")</f>
        <v/>
      </c>
      <c r="H20" s="5">
        <f>COUNTIFS('Test Cases'!$V:$V,A20,'Test Cases'!$U:$U,B20,'Test Cases'!$W:$W,C20,'Test Cases'!$R:$R,"Blocked")</f>
        <v/>
      </c>
      <c r="I20" s="6">
        <f>IFERROR(F20/E20,0)</f>
        <v/>
      </c>
      <c r="J20" s="5">
        <f>COUNTIF('Defect Log'!$M:$M,A20)</f>
        <v/>
      </c>
      <c r="K20" s="5">
        <f>COUNTIFS('Defect Log'!$C:$C,"Critical",'Defect Log'!$E:$E,"&lt;&gt;Closed")+COUNTIFS('Defect Log'!$C:$C,"High",'Defect Log'!$E:$E,"&lt;&gt;Closed")</f>
        <v/>
      </c>
      <c r="L20" s="5" t="n"/>
    </row>
    <row r="21">
      <c r="A21" s="5" t="n"/>
      <c r="B21" s="5" t="n"/>
      <c r="C21" s="5" t="n"/>
      <c r="D21" s="5">
        <f>COUNTIFS('Test Cases'!$V:$V,A21,'Test Cases'!$U:$U,B21,'Test Cases'!$W:$W,C21)</f>
        <v/>
      </c>
      <c r="E21" s="5">
        <f>SUM(F21:H21)</f>
        <v/>
      </c>
      <c r="F21" s="5">
        <f>COUNTIFS('Test Cases'!$V:$V,A21,'Test Cases'!$U:$U,B21,'Test Cases'!$W:$W,C21,'Test Cases'!$R:$R,"Passed")</f>
        <v/>
      </c>
      <c r="G21" s="5">
        <f>COUNTIFS('Test Cases'!$V:$V,A21,'Test Cases'!$U:$U,B21,'Test Cases'!$W:$W,C21,'Test Cases'!$R:$R,"Failed")</f>
        <v/>
      </c>
      <c r="H21" s="5">
        <f>COUNTIFS('Test Cases'!$V:$V,A21,'Test Cases'!$U:$U,B21,'Test Cases'!$W:$W,C21,'Test Cases'!$R:$R,"Blocked")</f>
        <v/>
      </c>
      <c r="I21" s="6">
        <f>IFERROR(F21/E21,0)</f>
        <v/>
      </c>
      <c r="J21" s="5">
        <f>COUNTIF('Defect Log'!$M:$M,A21)</f>
        <v/>
      </c>
      <c r="K21" s="5">
        <f>COUNTIFS('Defect Log'!$C:$C,"Critical",'Defect Log'!$E:$E,"&lt;&gt;Closed")+COUNTIFS('Defect Log'!$C:$C,"High",'Defect Log'!$E:$E,"&lt;&gt;Closed")</f>
        <v/>
      </c>
      <c r="L21" s="5" t="n"/>
    </row>
    <row r="22">
      <c r="A22" s="5" t="n"/>
      <c r="B22" s="5" t="n"/>
      <c r="C22" s="5" t="n"/>
      <c r="D22" s="5">
        <f>COUNTIFS('Test Cases'!$V:$V,A22,'Test Cases'!$U:$U,B22,'Test Cases'!$W:$W,C22)</f>
        <v/>
      </c>
      <c r="E22" s="5">
        <f>SUM(F22:H22)</f>
        <v/>
      </c>
      <c r="F22" s="5">
        <f>COUNTIFS('Test Cases'!$V:$V,A22,'Test Cases'!$U:$U,B22,'Test Cases'!$W:$W,C22,'Test Cases'!$R:$R,"Passed")</f>
        <v/>
      </c>
      <c r="G22" s="5">
        <f>COUNTIFS('Test Cases'!$V:$V,A22,'Test Cases'!$U:$U,B22,'Test Cases'!$W:$W,C22,'Test Cases'!$R:$R,"Failed")</f>
        <v/>
      </c>
      <c r="H22" s="5">
        <f>COUNTIFS('Test Cases'!$V:$V,A22,'Test Cases'!$U:$U,B22,'Test Cases'!$W:$W,C22,'Test Cases'!$R:$R,"Blocked")</f>
        <v/>
      </c>
      <c r="I22" s="6">
        <f>IFERROR(F22/E22,0)</f>
        <v/>
      </c>
      <c r="J22" s="5">
        <f>COUNTIF('Defect Log'!$M:$M,A22)</f>
        <v/>
      </c>
      <c r="K22" s="5">
        <f>COUNTIFS('Defect Log'!$C:$C,"Critical",'Defect Log'!$E:$E,"&lt;&gt;Closed")+COUNTIFS('Defect Log'!$C:$C,"High",'Defect Log'!$E:$E,"&lt;&gt;Closed")</f>
        <v/>
      </c>
      <c r="L22" s="5" t="n"/>
    </row>
    <row r="23">
      <c r="A23" s="5" t="n"/>
      <c r="B23" s="5" t="n"/>
      <c r="C23" s="5" t="n"/>
      <c r="D23" s="5">
        <f>COUNTIFS('Test Cases'!$V:$V,A23,'Test Cases'!$U:$U,B23,'Test Cases'!$W:$W,C23)</f>
        <v/>
      </c>
      <c r="E23" s="5">
        <f>SUM(F23:H23)</f>
        <v/>
      </c>
      <c r="F23" s="5">
        <f>COUNTIFS('Test Cases'!$V:$V,A23,'Test Cases'!$U:$U,B23,'Test Cases'!$W:$W,C23,'Test Cases'!$R:$R,"Passed")</f>
        <v/>
      </c>
      <c r="G23" s="5">
        <f>COUNTIFS('Test Cases'!$V:$V,A23,'Test Cases'!$U:$U,B23,'Test Cases'!$W:$W,C23,'Test Cases'!$R:$R,"Failed")</f>
        <v/>
      </c>
      <c r="H23" s="5">
        <f>COUNTIFS('Test Cases'!$V:$V,A23,'Test Cases'!$U:$U,B23,'Test Cases'!$W:$W,C23,'Test Cases'!$R:$R,"Blocked")</f>
        <v/>
      </c>
      <c r="I23" s="6">
        <f>IFERROR(F23/E23,0)</f>
        <v/>
      </c>
      <c r="J23" s="5">
        <f>COUNTIF('Defect Log'!$M:$M,A23)</f>
        <v/>
      </c>
      <c r="K23" s="5">
        <f>COUNTIFS('Defect Log'!$C:$C,"Critical",'Defect Log'!$E:$E,"&lt;&gt;Closed")+COUNTIFS('Defect Log'!$C:$C,"High",'Defect Log'!$E:$E,"&lt;&gt;Closed")</f>
        <v/>
      </c>
      <c r="L23" s="5" t="n"/>
    </row>
    <row r="24">
      <c r="A24" s="5" t="n"/>
      <c r="B24" s="5" t="n"/>
      <c r="C24" s="5" t="n"/>
      <c r="D24" s="5">
        <f>COUNTIFS('Test Cases'!$V:$V,A24,'Test Cases'!$U:$U,B24,'Test Cases'!$W:$W,C24)</f>
        <v/>
      </c>
      <c r="E24" s="5">
        <f>SUM(F24:H24)</f>
        <v/>
      </c>
      <c r="F24" s="5">
        <f>COUNTIFS('Test Cases'!$V:$V,A24,'Test Cases'!$U:$U,B24,'Test Cases'!$W:$W,C24,'Test Cases'!$R:$R,"Passed")</f>
        <v/>
      </c>
      <c r="G24" s="5">
        <f>COUNTIFS('Test Cases'!$V:$V,A24,'Test Cases'!$U:$U,B24,'Test Cases'!$W:$W,C24,'Test Cases'!$R:$R,"Failed")</f>
        <v/>
      </c>
      <c r="H24" s="5">
        <f>COUNTIFS('Test Cases'!$V:$V,A24,'Test Cases'!$U:$U,B24,'Test Cases'!$W:$W,C24,'Test Cases'!$R:$R,"Blocked")</f>
        <v/>
      </c>
      <c r="I24" s="6">
        <f>IFERROR(F24/E24,0)</f>
        <v/>
      </c>
      <c r="J24" s="5">
        <f>COUNTIF('Defect Log'!$M:$M,A24)</f>
        <v/>
      </c>
      <c r="K24" s="5">
        <f>COUNTIFS('Defect Log'!$C:$C,"Critical",'Defect Log'!$E:$E,"&lt;&gt;Closed")+COUNTIFS('Defect Log'!$C:$C,"High",'Defect Log'!$E:$E,"&lt;&gt;Closed")</f>
        <v/>
      </c>
      <c r="L24" s="5" t="n"/>
    </row>
    <row r="25">
      <c r="A25" s="5" t="n"/>
      <c r="B25" s="5" t="n"/>
      <c r="C25" s="5" t="n"/>
      <c r="D25" s="5">
        <f>COUNTIFS('Test Cases'!$V:$V,A25,'Test Cases'!$U:$U,B25,'Test Cases'!$W:$W,C25)</f>
        <v/>
      </c>
      <c r="E25" s="5">
        <f>SUM(F25:H25)</f>
        <v/>
      </c>
      <c r="F25" s="5">
        <f>COUNTIFS('Test Cases'!$V:$V,A25,'Test Cases'!$U:$U,B25,'Test Cases'!$W:$W,C25,'Test Cases'!$R:$R,"Passed")</f>
        <v/>
      </c>
      <c r="G25" s="5">
        <f>COUNTIFS('Test Cases'!$V:$V,A25,'Test Cases'!$U:$U,B25,'Test Cases'!$W:$W,C25,'Test Cases'!$R:$R,"Failed")</f>
        <v/>
      </c>
      <c r="H25" s="5">
        <f>COUNTIFS('Test Cases'!$V:$V,A25,'Test Cases'!$U:$U,B25,'Test Cases'!$W:$W,C25,'Test Cases'!$R:$R,"Blocked")</f>
        <v/>
      </c>
      <c r="I25" s="6">
        <f>IFERROR(F25/E25,0)</f>
        <v/>
      </c>
      <c r="J25" s="5">
        <f>COUNTIF('Defect Log'!$M:$M,A25)</f>
        <v/>
      </c>
      <c r="K25" s="5">
        <f>COUNTIFS('Defect Log'!$C:$C,"Critical",'Defect Log'!$E:$E,"&lt;&gt;Closed")+COUNTIFS('Defect Log'!$C:$C,"High",'Defect Log'!$E:$E,"&lt;&gt;Closed")</f>
        <v/>
      </c>
      <c r="L25" s="5" t="n"/>
    </row>
    <row r="26">
      <c r="A26" s="5" t="n"/>
      <c r="B26" s="5" t="n"/>
      <c r="C26" s="5" t="n"/>
      <c r="D26" s="5">
        <f>COUNTIFS('Test Cases'!$V:$V,A26,'Test Cases'!$U:$U,B26,'Test Cases'!$W:$W,C26)</f>
        <v/>
      </c>
      <c r="E26" s="5">
        <f>SUM(F26:H26)</f>
        <v/>
      </c>
      <c r="F26" s="5">
        <f>COUNTIFS('Test Cases'!$V:$V,A26,'Test Cases'!$U:$U,B26,'Test Cases'!$W:$W,C26,'Test Cases'!$R:$R,"Passed")</f>
        <v/>
      </c>
      <c r="G26" s="5">
        <f>COUNTIFS('Test Cases'!$V:$V,A26,'Test Cases'!$U:$U,B26,'Test Cases'!$W:$W,C26,'Test Cases'!$R:$R,"Failed")</f>
        <v/>
      </c>
      <c r="H26" s="5">
        <f>COUNTIFS('Test Cases'!$V:$V,A26,'Test Cases'!$U:$U,B26,'Test Cases'!$W:$W,C26,'Test Cases'!$R:$R,"Blocked")</f>
        <v/>
      </c>
      <c r="I26" s="6">
        <f>IFERROR(F26/E26,0)</f>
        <v/>
      </c>
      <c r="J26" s="5">
        <f>COUNTIF('Defect Log'!$M:$M,A26)</f>
        <v/>
      </c>
      <c r="K26" s="5">
        <f>COUNTIFS('Defect Log'!$C:$C,"Critical",'Defect Log'!$E:$E,"&lt;&gt;Closed")+COUNTIFS('Defect Log'!$C:$C,"High",'Defect Log'!$E:$E,"&lt;&gt;Closed")</f>
        <v/>
      </c>
      <c r="L26" s="5" t="n"/>
    </row>
    <row r="27">
      <c r="A27" s="5" t="n"/>
      <c r="B27" s="5" t="n"/>
      <c r="C27" s="5" t="n"/>
      <c r="D27" s="5">
        <f>COUNTIFS('Test Cases'!$V:$V,A27,'Test Cases'!$U:$U,B27,'Test Cases'!$W:$W,C27)</f>
        <v/>
      </c>
      <c r="E27" s="5">
        <f>SUM(F27:H27)</f>
        <v/>
      </c>
      <c r="F27" s="5">
        <f>COUNTIFS('Test Cases'!$V:$V,A27,'Test Cases'!$U:$U,B27,'Test Cases'!$W:$W,C27,'Test Cases'!$R:$R,"Passed")</f>
        <v/>
      </c>
      <c r="G27" s="5">
        <f>COUNTIFS('Test Cases'!$V:$V,A27,'Test Cases'!$U:$U,B27,'Test Cases'!$W:$W,C27,'Test Cases'!$R:$R,"Failed")</f>
        <v/>
      </c>
      <c r="H27" s="5">
        <f>COUNTIFS('Test Cases'!$V:$V,A27,'Test Cases'!$U:$U,B27,'Test Cases'!$W:$W,C27,'Test Cases'!$R:$R,"Blocked")</f>
        <v/>
      </c>
      <c r="I27" s="6">
        <f>IFERROR(F27/E27,0)</f>
        <v/>
      </c>
      <c r="J27" s="5">
        <f>COUNTIF('Defect Log'!$M:$M,A27)</f>
        <v/>
      </c>
      <c r="K27" s="5">
        <f>COUNTIFS('Defect Log'!$C:$C,"Critical",'Defect Log'!$E:$E,"&lt;&gt;Closed")+COUNTIFS('Defect Log'!$C:$C,"High",'Defect Log'!$E:$E,"&lt;&gt;Closed")</f>
        <v/>
      </c>
      <c r="L27" s="5" t="n"/>
    </row>
    <row r="28">
      <c r="A28" s="5" t="n"/>
      <c r="B28" s="5" t="n"/>
      <c r="C28" s="5" t="n"/>
      <c r="D28" s="5">
        <f>COUNTIFS('Test Cases'!$V:$V,A28,'Test Cases'!$U:$U,B28,'Test Cases'!$W:$W,C28)</f>
        <v/>
      </c>
      <c r="E28" s="5">
        <f>SUM(F28:H28)</f>
        <v/>
      </c>
      <c r="F28" s="5">
        <f>COUNTIFS('Test Cases'!$V:$V,A28,'Test Cases'!$U:$U,B28,'Test Cases'!$W:$W,C28,'Test Cases'!$R:$R,"Passed")</f>
        <v/>
      </c>
      <c r="G28" s="5">
        <f>COUNTIFS('Test Cases'!$V:$V,A28,'Test Cases'!$U:$U,B28,'Test Cases'!$W:$W,C28,'Test Cases'!$R:$R,"Failed")</f>
        <v/>
      </c>
      <c r="H28" s="5">
        <f>COUNTIFS('Test Cases'!$V:$V,A28,'Test Cases'!$U:$U,B28,'Test Cases'!$W:$W,C28,'Test Cases'!$R:$R,"Blocked")</f>
        <v/>
      </c>
      <c r="I28" s="6">
        <f>IFERROR(F28/E28,0)</f>
        <v/>
      </c>
      <c r="J28" s="5">
        <f>COUNTIF('Defect Log'!$M:$M,A28)</f>
        <v/>
      </c>
      <c r="K28" s="5">
        <f>COUNTIFS('Defect Log'!$C:$C,"Critical",'Defect Log'!$E:$E,"&lt;&gt;Closed")+COUNTIFS('Defect Log'!$C:$C,"High",'Defect Log'!$E:$E,"&lt;&gt;Closed")</f>
        <v/>
      </c>
      <c r="L28" s="5" t="n"/>
    </row>
    <row r="29">
      <c r="A29" s="5" t="n"/>
      <c r="B29" s="5" t="n"/>
      <c r="C29" s="5" t="n"/>
      <c r="D29" s="5">
        <f>COUNTIFS('Test Cases'!$V:$V,A29,'Test Cases'!$U:$U,B29,'Test Cases'!$W:$W,C29)</f>
        <v/>
      </c>
      <c r="E29" s="5">
        <f>SUM(F29:H29)</f>
        <v/>
      </c>
      <c r="F29" s="5">
        <f>COUNTIFS('Test Cases'!$V:$V,A29,'Test Cases'!$U:$U,B29,'Test Cases'!$W:$W,C29,'Test Cases'!$R:$R,"Passed")</f>
        <v/>
      </c>
      <c r="G29" s="5">
        <f>COUNTIFS('Test Cases'!$V:$V,A29,'Test Cases'!$U:$U,B29,'Test Cases'!$W:$W,C29,'Test Cases'!$R:$R,"Failed")</f>
        <v/>
      </c>
      <c r="H29" s="5">
        <f>COUNTIFS('Test Cases'!$V:$V,A29,'Test Cases'!$U:$U,B29,'Test Cases'!$W:$W,C29,'Test Cases'!$R:$R,"Blocked")</f>
        <v/>
      </c>
      <c r="I29" s="6">
        <f>IFERROR(F29/E29,0)</f>
        <v/>
      </c>
      <c r="J29" s="5">
        <f>COUNTIF('Defect Log'!$M:$M,A29)</f>
        <v/>
      </c>
      <c r="K29" s="5">
        <f>COUNTIFS('Defect Log'!$C:$C,"Critical",'Defect Log'!$E:$E,"&lt;&gt;Closed")+COUNTIFS('Defect Log'!$C:$C,"High",'Defect Log'!$E:$E,"&lt;&gt;Closed")</f>
        <v/>
      </c>
      <c r="L29" s="5" t="n"/>
    </row>
    <row r="30">
      <c r="A30" s="5" t="n"/>
      <c r="B30" s="5" t="n"/>
      <c r="C30" s="5" t="n"/>
      <c r="D30" s="5">
        <f>COUNTIFS('Test Cases'!$V:$V,A30,'Test Cases'!$U:$U,B30,'Test Cases'!$W:$W,C30)</f>
        <v/>
      </c>
      <c r="E30" s="5">
        <f>SUM(F30:H30)</f>
        <v/>
      </c>
      <c r="F30" s="5">
        <f>COUNTIFS('Test Cases'!$V:$V,A30,'Test Cases'!$U:$U,B30,'Test Cases'!$W:$W,C30,'Test Cases'!$R:$R,"Passed")</f>
        <v/>
      </c>
      <c r="G30" s="5">
        <f>COUNTIFS('Test Cases'!$V:$V,A30,'Test Cases'!$U:$U,B30,'Test Cases'!$W:$W,C30,'Test Cases'!$R:$R,"Failed")</f>
        <v/>
      </c>
      <c r="H30" s="5">
        <f>COUNTIFS('Test Cases'!$V:$V,A30,'Test Cases'!$U:$U,B30,'Test Cases'!$W:$W,C30,'Test Cases'!$R:$R,"Blocked")</f>
        <v/>
      </c>
      <c r="I30" s="6">
        <f>IFERROR(F30/E30,0)</f>
        <v/>
      </c>
      <c r="J30" s="5">
        <f>COUNTIF('Defect Log'!$M:$M,A30)</f>
        <v/>
      </c>
      <c r="K30" s="5">
        <f>COUNTIFS('Defect Log'!$C:$C,"Critical",'Defect Log'!$E:$E,"&lt;&gt;Closed")+COUNTIFS('Defect Log'!$C:$C,"High",'Defect Log'!$E:$E,"&lt;&gt;Closed")</f>
        <v/>
      </c>
      <c r="L30" s="5" t="n"/>
    </row>
    <row r="31">
      <c r="A31" s="5" t="n"/>
      <c r="B31" s="5" t="n"/>
      <c r="C31" s="5" t="n"/>
      <c r="D31" s="5">
        <f>COUNTIFS('Test Cases'!$V:$V,A31,'Test Cases'!$U:$U,B31,'Test Cases'!$W:$W,C31)</f>
        <v/>
      </c>
      <c r="E31" s="5">
        <f>SUM(F31:H31)</f>
        <v/>
      </c>
      <c r="F31" s="5">
        <f>COUNTIFS('Test Cases'!$V:$V,A31,'Test Cases'!$U:$U,B31,'Test Cases'!$W:$W,C31,'Test Cases'!$R:$R,"Passed")</f>
        <v/>
      </c>
      <c r="G31" s="5">
        <f>COUNTIFS('Test Cases'!$V:$V,A31,'Test Cases'!$U:$U,B31,'Test Cases'!$W:$W,C31,'Test Cases'!$R:$R,"Failed")</f>
        <v/>
      </c>
      <c r="H31" s="5">
        <f>COUNTIFS('Test Cases'!$V:$V,A31,'Test Cases'!$U:$U,B31,'Test Cases'!$W:$W,C31,'Test Cases'!$R:$R,"Blocked")</f>
        <v/>
      </c>
      <c r="I31" s="6">
        <f>IFERROR(F31/E31,0)</f>
        <v/>
      </c>
      <c r="J31" s="5">
        <f>COUNTIF('Defect Log'!$M:$M,A31)</f>
        <v/>
      </c>
      <c r="K31" s="5">
        <f>COUNTIFS('Defect Log'!$C:$C,"Critical",'Defect Log'!$E:$E,"&lt;&gt;Closed")+COUNTIFS('Defect Log'!$C:$C,"High",'Defect Log'!$E:$E,"&lt;&gt;Closed")</f>
        <v/>
      </c>
      <c r="L31" s="5" t="n"/>
    </row>
    <row r="32">
      <c r="A32" s="5" t="n"/>
      <c r="B32" s="5" t="n"/>
      <c r="C32" s="5" t="n"/>
      <c r="D32" s="5">
        <f>COUNTIFS('Test Cases'!$V:$V,A32,'Test Cases'!$U:$U,B32,'Test Cases'!$W:$W,C32)</f>
        <v/>
      </c>
      <c r="E32" s="5">
        <f>SUM(F32:H32)</f>
        <v/>
      </c>
      <c r="F32" s="5">
        <f>COUNTIFS('Test Cases'!$V:$V,A32,'Test Cases'!$U:$U,B32,'Test Cases'!$W:$W,C32,'Test Cases'!$R:$R,"Passed")</f>
        <v/>
      </c>
      <c r="G32" s="5">
        <f>COUNTIFS('Test Cases'!$V:$V,A32,'Test Cases'!$U:$U,B32,'Test Cases'!$W:$W,C32,'Test Cases'!$R:$R,"Failed")</f>
        <v/>
      </c>
      <c r="H32" s="5">
        <f>COUNTIFS('Test Cases'!$V:$V,A32,'Test Cases'!$U:$U,B32,'Test Cases'!$W:$W,C32,'Test Cases'!$R:$R,"Blocked")</f>
        <v/>
      </c>
      <c r="I32" s="6">
        <f>IFERROR(F32/E32,0)</f>
        <v/>
      </c>
      <c r="J32" s="5">
        <f>COUNTIF('Defect Log'!$M:$M,A32)</f>
        <v/>
      </c>
      <c r="K32" s="5">
        <f>COUNTIFS('Defect Log'!$C:$C,"Critical",'Defect Log'!$E:$E,"&lt;&gt;Closed")+COUNTIFS('Defect Log'!$C:$C,"High",'Defect Log'!$E:$E,"&lt;&gt;Closed")</f>
        <v/>
      </c>
      <c r="L32" s="5" t="n"/>
    </row>
    <row r="33">
      <c r="A33" s="5" t="n"/>
      <c r="B33" s="5" t="n"/>
      <c r="C33" s="5" t="n"/>
      <c r="D33" s="5">
        <f>COUNTIFS('Test Cases'!$V:$V,A33,'Test Cases'!$U:$U,B33,'Test Cases'!$W:$W,C33)</f>
        <v/>
      </c>
      <c r="E33" s="5">
        <f>SUM(F33:H33)</f>
        <v/>
      </c>
      <c r="F33" s="5">
        <f>COUNTIFS('Test Cases'!$V:$V,A33,'Test Cases'!$U:$U,B33,'Test Cases'!$W:$W,C33,'Test Cases'!$R:$R,"Passed")</f>
        <v/>
      </c>
      <c r="G33" s="5">
        <f>COUNTIFS('Test Cases'!$V:$V,A33,'Test Cases'!$U:$U,B33,'Test Cases'!$W:$W,C33,'Test Cases'!$R:$R,"Failed")</f>
        <v/>
      </c>
      <c r="H33" s="5">
        <f>COUNTIFS('Test Cases'!$V:$V,A33,'Test Cases'!$U:$U,B33,'Test Cases'!$W:$W,C33,'Test Cases'!$R:$R,"Blocked")</f>
        <v/>
      </c>
      <c r="I33" s="6">
        <f>IFERROR(F33/E33,0)</f>
        <v/>
      </c>
      <c r="J33" s="5">
        <f>COUNTIF('Defect Log'!$M:$M,A33)</f>
        <v/>
      </c>
      <c r="K33" s="5">
        <f>COUNTIFS('Defect Log'!$C:$C,"Critical",'Defect Log'!$E:$E,"&lt;&gt;Closed")+COUNTIFS('Defect Log'!$C:$C,"High",'Defect Log'!$E:$E,"&lt;&gt;Closed")</f>
        <v/>
      </c>
      <c r="L33" s="5" t="n"/>
    </row>
    <row r="34">
      <c r="A34" s="5" t="n"/>
      <c r="B34" s="5" t="n"/>
      <c r="C34" s="5" t="n"/>
      <c r="D34" s="5">
        <f>COUNTIFS('Test Cases'!$V:$V,A34,'Test Cases'!$U:$U,B34,'Test Cases'!$W:$W,C34)</f>
        <v/>
      </c>
      <c r="E34" s="5">
        <f>SUM(F34:H34)</f>
        <v/>
      </c>
      <c r="F34" s="5">
        <f>COUNTIFS('Test Cases'!$V:$V,A34,'Test Cases'!$U:$U,B34,'Test Cases'!$W:$W,C34,'Test Cases'!$R:$R,"Passed")</f>
        <v/>
      </c>
      <c r="G34" s="5">
        <f>COUNTIFS('Test Cases'!$V:$V,A34,'Test Cases'!$U:$U,B34,'Test Cases'!$W:$W,C34,'Test Cases'!$R:$R,"Failed")</f>
        <v/>
      </c>
      <c r="H34" s="5">
        <f>COUNTIFS('Test Cases'!$V:$V,A34,'Test Cases'!$U:$U,B34,'Test Cases'!$W:$W,C34,'Test Cases'!$R:$R,"Blocked")</f>
        <v/>
      </c>
      <c r="I34" s="6">
        <f>IFERROR(F34/E34,0)</f>
        <v/>
      </c>
      <c r="J34" s="5">
        <f>COUNTIF('Defect Log'!$M:$M,A34)</f>
        <v/>
      </c>
      <c r="K34" s="5">
        <f>COUNTIFS('Defect Log'!$C:$C,"Critical",'Defect Log'!$E:$E,"&lt;&gt;Closed")+COUNTIFS('Defect Log'!$C:$C,"High",'Defect Log'!$E:$E,"&lt;&gt;Closed")</f>
        <v/>
      </c>
      <c r="L34" s="5" t="n"/>
    </row>
    <row r="35">
      <c r="A35" s="5" t="n"/>
      <c r="B35" s="5" t="n"/>
      <c r="C35" s="5" t="n"/>
      <c r="D35" s="5">
        <f>COUNTIFS('Test Cases'!$V:$V,A35,'Test Cases'!$U:$U,B35,'Test Cases'!$W:$W,C35)</f>
        <v/>
      </c>
      <c r="E35" s="5">
        <f>SUM(F35:H35)</f>
        <v/>
      </c>
      <c r="F35" s="5">
        <f>COUNTIFS('Test Cases'!$V:$V,A35,'Test Cases'!$U:$U,B35,'Test Cases'!$W:$W,C35,'Test Cases'!$R:$R,"Passed")</f>
        <v/>
      </c>
      <c r="G35" s="5">
        <f>COUNTIFS('Test Cases'!$V:$V,A35,'Test Cases'!$U:$U,B35,'Test Cases'!$W:$W,C35,'Test Cases'!$R:$R,"Failed")</f>
        <v/>
      </c>
      <c r="H35" s="5">
        <f>COUNTIFS('Test Cases'!$V:$V,A35,'Test Cases'!$U:$U,B35,'Test Cases'!$W:$W,C35,'Test Cases'!$R:$R,"Blocked")</f>
        <v/>
      </c>
      <c r="I35" s="6">
        <f>IFERROR(F35/E35,0)</f>
        <v/>
      </c>
      <c r="J35" s="5">
        <f>COUNTIF('Defect Log'!$M:$M,A35)</f>
        <v/>
      </c>
      <c r="K35" s="5">
        <f>COUNTIFS('Defect Log'!$C:$C,"Critical",'Defect Log'!$E:$E,"&lt;&gt;Closed")+COUNTIFS('Defect Log'!$C:$C,"High",'Defect Log'!$E:$E,"&lt;&gt;Closed")</f>
        <v/>
      </c>
      <c r="L35" s="5" t="n"/>
    </row>
    <row r="36">
      <c r="A36" s="5" t="n"/>
      <c r="B36" s="5" t="n"/>
      <c r="C36" s="5" t="n"/>
      <c r="D36" s="5">
        <f>COUNTIFS('Test Cases'!$V:$V,A36,'Test Cases'!$U:$U,B36,'Test Cases'!$W:$W,C36)</f>
        <v/>
      </c>
      <c r="E36" s="5">
        <f>SUM(F36:H36)</f>
        <v/>
      </c>
      <c r="F36" s="5">
        <f>COUNTIFS('Test Cases'!$V:$V,A36,'Test Cases'!$U:$U,B36,'Test Cases'!$W:$W,C36,'Test Cases'!$R:$R,"Passed")</f>
        <v/>
      </c>
      <c r="G36" s="5">
        <f>COUNTIFS('Test Cases'!$V:$V,A36,'Test Cases'!$U:$U,B36,'Test Cases'!$W:$W,C36,'Test Cases'!$R:$R,"Failed")</f>
        <v/>
      </c>
      <c r="H36" s="5">
        <f>COUNTIFS('Test Cases'!$V:$V,A36,'Test Cases'!$U:$U,B36,'Test Cases'!$W:$W,C36,'Test Cases'!$R:$R,"Blocked")</f>
        <v/>
      </c>
      <c r="I36" s="6">
        <f>IFERROR(F36/E36,0)</f>
        <v/>
      </c>
      <c r="J36" s="5">
        <f>COUNTIF('Defect Log'!$M:$M,A36)</f>
        <v/>
      </c>
      <c r="K36" s="5">
        <f>COUNTIFS('Defect Log'!$C:$C,"Critical",'Defect Log'!$E:$E,"&lt;&gt;Closed")+COUNTIFS('Defect Log'!$C:$C,"High",'Defect Log'!$E:$E,"&lt;&gt;Closed")</f>
        <v/>
      </c>
      <c r="L36" s="5" t="n"/>
    </row>
    <row r="37">
      <c r="A37" s="5" t="n"/>
      <c r="B37" s="5" t="n"/>
      <c r="C37" s="5" t="n"/>
      <c r="D37" s="5">
        <f>COUNTIFS('Test Cases'!$V:$V,A37,'Test Cases'!$U:$U,B37,'Test Cases'!$W:$W,C37)</f>
        <v/>
      </c>
      <c r="E37" s="5">
        <f>SUM(F37:H37)</f>
        <v/>
      </c>
      <c r="F37" s="5">
        <f>COUNTIFS('Test Cases'!$V:$V,A37,'Test Cases'!$U:$U,B37,'Test Cases'!$W:$W,C37,'Test Cases'!$R:$R,"Passed")</f>
        <v/>
      </c>
      <c r="G37" s="5">
        <f>COUNTIFS('Test Cases'!$V:$V,A37,'Test Cases'!$U:$U,B37,'Test Cases'!$W:$W,C37,'Test Cases'!$R:$R,"Failed")</f>
        <v/>
      </c>
      <c r="H37" s="5">
        <f>COUNTIFS('Test Cases'!$V:$V,A37,'Test Cases'!$U:$U,B37,'Test Cases'!$W:$W,C37,'Test Cases'!$R:$R,"Blocked")</f>
        <v/>
      </c>
      <c r="I37" s="6">
        <f>IFERROR(F37/E37,0)</f>
        <v/>
      </c>
      <c r="J37" s="5">
        <f>COUNTIF('Defect Log'!$M:$M,A37)</f>
        <v/>
      </c>
      <c r="K37" s="5">
        <f>COUNTIFS('Defect Log'!$C:$C,"Critical",'Defect Log'!$E:$E,"&lt;&gt;Closed")+COUNTIFS('Defect Log'!$C:$C,"High",'Defect Log'!$E:$E,"&lt;&gt;Closed")</f>
        <v/>
      </c>
      <c r="L37" s="5" t="n"/>
    </row>
    <row r="38">
      <c r="A38" s="5" t="n"/>
      <c r="B38" s="5" t="n"/>
      <c r="C38" s="5" t="n"/>
      <c r="D38" s="5">
        <f>COUNTIFS('Test Cases'!$V:$V,A38,'Test Cases'!$U:$U,B38,'Test Cases'!$W:$W,C38)</f>
        <v/>
      </c>
      <c r="E38" s="5">
        <f>SUM(F38:H38)</f>
        <v/>
      </c>
      <c r="F38" s="5">
        <f>COUNTIFS('Test Cases'!$V:$V,A38,'Test Cases'!$U:$U,B38,'Test Cases'!$W:$W,C38,'Test Cases'!$R:$R,"Passed")</f>
        <v/>
      </c>
      <c r="G38" s="5">
        <f>COUNTIFS('Test Cases'!$V:$V,A38,'Test Cases'!$U:$U,B38,'Test Cases'!$W:$W,C38,'Test Cases'!$R:$R,"Failed")</f>
        <v/>
      </c>
      <c r="H38" s="5">
        <f>COUNTIFS('Test Cases'!$V:$V,A38,'Test Cases'!$U:$U,B38,'Test Cases'!$W:$W,C38,'Test Cases'!$R:$R,"Blocked")</f>
        <v/>
      </c>
      <c r="I38" s="6">
        <f>IFERROR(F38/E38,0)</f>
        <v/>
      </c>
      <c r="J38" s="5">
        <f>COUNTIF('Defect Log'!$M:$M,A38)</f>
        <v/>
      </c>
      <c r="K38" s="5">
        <f>COUNTIFS('Defect Log'!$C:$C,"Critical",'Defect Log'!$E:$E,"&lt;&gt;Closed")+COUNTIFS('Defect Log'!$C:$C,"High",'Defect Log'!$E:$E,"&lt;&gt;Closed")</f>
        <v/>
      </c>
      <c r="L38" s="5" t="n"/>
    </row>
    <row r="39">
      <c r="A39" s="5" t="n"/>
      <c r="B39" s="5" t="n"/>
      <c r="C39" s="5" t="n"/>
      <c r="D39" s="5">
        <f>COUNTIFS('Test Cases'!$V:$V,A39,'Test Cases'!$U:$U,B39,'Test Cases'!$W:$W,C39)</f>
        <v/>
      </c>
      <c r="E39" s="5">
        <f>SUM(F39:H39)</f>
        <v/>
      </c>
      <c r="F39" s="5">
        <f>COUNTIFS('Test Cases'!$V:$V,A39,'Test Cases'!$U:$U,B39,'Test Cases'!$W:$W,C39,'Test Cases'!$R:$R,"Passed")</f>
        <v/>
      </c>
      <c r="G39" s="5">
        <f>COUNTIFS('Test Cases'!$V:$V,A39,'Test Cases'!$U:$U,B39,'Test Cases'!$W:$W,C39,'Test Cases'!$R:$R,"Failed")</f>
        <v/>
      </c>
      <c r="H39" s="5">
        <f>COUNTIFS('Test Cases'!$V:$V,A39,'Test Cases'!$U:$U,B39,'Test Cases'!$W:$W,C39,'Test Cases'!$R:$R,"Blocked")</f>
        <v/>
      </c>
      <c r="I39" s="6">
        <f>IFERROR(F39/E39,0)</f>
        <v/>
      </c>
      <c r="J39" s="5">
        <f>COUNTIF('Defect Log'!$M:$M,A39)</f>
        <v/>
      </c>
      <c r="K39" s="5">
        <f>COUNTIFS('Defect Log'!$C:$C,"Critical",'Defect Log'!$E:$E,"&lt;&gt;Closed")+COUNTIFS('Defect Log'!$C:$C,"High",'Defect Log'!$E:$E,"&lt;&gt;Closed")</f>
        <v/>
      </c>
      <c r="L39" s="5" t="n"/>
    </row>
    <row r="40">
      <c r="A40" s="5" t="n"/>
      <c r="B40" s="5" t="n"/>
      <c r="C40" s="5" t="n"/>
      <c r="D40" s="5">
        <f>COUNTIFS('Test Cases'!$V:$V,A40,'Test Cases'!$U:$U,B40,'Test Cases'!$W:$W,C40)</f>
        <v/>
      </c>
      <c r="E40" s="5">
        <f>SUM(F40:H40)</f>
        <v/>
      </c>
      <c r="F40" s="5">
        <f>COUNTIFS('Test Cases'!$V:$V,A40,'Test Cases'!$U:$U,B40,'Test Cases'!$W:$W,C40,'Test Cases'!$R:$R,"Passed")</f>
        <v/>
      </c>
      <c r="G40" s="5">
        <f>COUNTIFS('Test Cases'!$V:$V,A40,'Test Cases'!$U:$U,B40,'Test Cases'!$W:$W,C40,'Test Cases'!$R:$R,"Failed")</f>
        <v/>
      </c>
      <c r="H40" s="5">
        <f>COUNTIFS('Test Cases'!$V:$V,A40,'Test Cases'!$U:$U,B40,'Test Cases'!$W:$W,C40,'Test Cases'!$R:$R,"Blocked")</f>
        <v/>
      </c>
      <c r="I40" s="6">
        <f>IFERROR(F40/E40,0)</f>
        <v/>
      </c>
      <c r="J40" s="5">
        <f>COUNTIF('Defect Log'!$M:$M,A40)</f>
        <v/>
      </c>
      <c r="K40" s="5">
        <f>COUNTIFS('Defect Log'!$C:$C,"Critical",'Defect Log'!$E:$E,"&lt;&gt;Closed")+COUNTIFS('Defect Log'!$C:$C,"High",'Defect Log'!$E:$E,"&lt;&gt;Closed")</f>
        <v/>
      </c>
      <c r="L40" s="5" t="n"/>
    </row>
    <row r="41">
      <c r="A41" s="5" t="n"/>
      <c r="B41" s="5" t="n"/>
      <c r="C41" s="5" t="n"/>
      <c r="D41" s="5">
        <f>COUNTIFS('Test Cases'!$V:$V,A41,'Test Cases'!$U:$U,B41,'Test Cases'!$W:$W,C41)</f>
        <v/>
      </c>
      <c r="E41" s="5">
        <f>SUM(F41:H41)</f>
        <v/>
      </c>
      <c r="F41" s="5">
        <f>COUNTIFS('Test Cases'!$V:$V,A41,'Test Cases'!$U:$U,B41,'Test Cases'!$W:$W,C41,'Test Cases'!$R:$R,"Passed")</f>
        <v/>
      </c>
      <c r="G41" s="5">
        <f>COUNTIFS('Test Cases'!$V:$V,A41,'Test Cases'!$U:$U,B41,'Test Cases'!$W:$W,C41,'Test Cases'!$R:$R,"Failed")</f>
        <v/>
      </c>
      <c r="H41" s="5">
        <f>COUNTIFS('Test Cases'!$V:$V,A41,'Test Cases'!$U:$U,B41,'Test Cases'!$W:$W,C41,'Test Cases'!$R:$R,"Blocked")</f>
        <v/>
      </c>
      <c r="I41" s="6">
        <f>IFERROR(F41/E41,0)</f>
        <v/>
      </c>
      <c r="J41" s="5">
        <f>COUNTIF('Defect Log'!$M:$M,A41)</f>
        <v/>
      </c>
      <c r="K41" s="5">
        <f>COUNTIFS('Defect Log'!$C:$C,"Critical",'Defect Log'!$E:$E,"&lt;&gt;Closed")+COUNTIFS('Defect Log'!$C:$C,"High",'Defect Log'!$E:$E,"&lt;&gt;Closed")</f>
        <v/>
      </c>
      <c r="L41" s="5" t="n"/>
    </row>
    <row r="42">
      <c r="A42" s="5" t="n"/>
      <c r="B42" s="5" t="n"/>
      <c r="C42" s="5" t="n"/>
      <c r="D42" s="5">
        <f>COUNTIFS('Test Cases'!$V:$V,A42,'Test Cases'!$U:$U,B42,'Test Cases'!$W:$W,C42)</f>
        <v/>
      </c>
      <c r="E42" s="5">
        <f>SUM(F42:H42)</f>
        <v/>
      </c>
      <c r="F42" s="5">
        <f>COUNTIFS('Test Cases'!$V:$V,A42,'Test Cases'!$U:$U,B42,'Test Cases'!$W:$W,C42,'Test Cases'!$R:$R,"Passed")</f>
        <v/>
      </c>
      <c r="G42" s="5">
        <f>COUNTIFS('Test Cases'!$V:$V,A42,'Test Cases'!$U:$U,B42,'Test Cases'!$W:$W,C42,'Test Cases'!$R:$R,"Failed")</f>
        <v/>
      </c>
      <c r="H42" s="5">
        <f>COUNTIFS('Test Cases'!$V:$V,A42,'Test Cases'!$U:$U,B42,'Test Cases'!$W:$W,C42,'Test Cases'!$R:$R,"Blocked")</f>
        <v/>
      </c>
      <c r="I42" s="6">
        <f>IFERROR(F42/E42,0)</f>
        <v/>
      </c>
      <c r="J42" s="5">
        <f>COUNTIF('Defect Log'!$M:$M,A42)</f>
        <v/>
      </c>
      <c r="K42" s="5">
        <f>COUNTIFS('Defect Log'!$C:$C,"Critical",'Defect Log'!$E:$E,"&lt;&gt;Closed")+COUNTIFS('Defect Log'!$C:$C,"High",'Defect Log'!$E:$E,"&lt;&gt;Closed")</f>
        <v/>
      </c>
      <c r="L42" s="5" t="n"/>
    </row>
    <row r="43">
      <c r="A43" s="5" t="n"/>
      <c r="B43" s="5" t="n"/>
      <c r="C43" s="5" t="n"/>
      <c r="D43" s="5">
        <f>COUNTIFS('Test Cases'!$V:$V,A43,'Test Cases'!$U:$U,B43,'Test Cases'!$W:$W,C43)</f>
        <v/>
      </c>
      <c r="E43" s="5">
        <f>SUM(F43:H43)</f>
        <v/>
      </c>
      <c r="F43" s="5">
        <f>COUNTIFS('Test Cases'!$V:$V,A43,'Test Cases'!$U:$U,B43,'Test Cases'!$W:$W,C43,'Test Cases'!$R:$R,"Passed")</f>
        <v/>
      </c>
      <c r="G43" s="5">
        <f>COUNTIFS('Test Cases'!$V:$V,A43,'Test Cases'!$U:$U,B43,'Test Cases'!$W:$W,C43,'Test Cases'!$R:$R,"Failed")</f>
        <v/>
      </c>
      <c r="H43" s="5">
        <f>COUNTIFS('Test Cases'!$V:$V,A43,'Test Cases'!$U:$U,B43,'Test Cases'!$W:$W,C43,'Test Cases'!$R:$R,"Blocked")</f>
        <v/>
      </c>
      <c r="I43" s="6">
        <f>IFERROR(F43/E43,0)</f>
        <v/>
      </c>
      <c r="J43" s="5">
        <f>COUNTIF('Defect Log'!$M:$M,A43)</f>
        <v/>
      </c>
      <c r="K43" s="5">
        <f>COUNTIFS('Defect Log'!$C:$C,"Critical",'Defect Log'!$E:$E,"&lt;&gt;Closed")+COUNTIFS('Defect Log'!$C:$C,"High",'Defect Log'!$E:$E,"&lt;&gt;Closed")</f>
        <v/>
      </c>
      <c r="L43" s="5" t="n"/>
    </row>
    <row r="44">
      <c r="A44" s="5" t="n"/>
      <c r="B44" s="5" t="n"/>
      <c r="C44" s="5" t="n"/>
      <c r="D44" s="5">
        <f>COUNTIFS('Test Cases'!$V:$V,A44,'Test Cases'!$U:$U,B44,'Test Cases'!$W:$W,C44)</f>
        <v/>
      </c>
      <c r="E44" s="5">
        <f>SUM(F44:H44)</f>
        <v/>
      </c>
      <c r="F44" s="5">
        <f>COUNTIFS('Test Cases'!$V:$V,A44,'Test Cases'!$U:$U,B44,'Test Cases'!$W:$W,C44,'Test Cases'!$R:$R,"Passed")</f>
        <v/>
      </c>
      <c r="G44" s="5">
        <f>COUNTIFS('Test Cases'!$V:$V,A44,'Test Cases'!$U:$U,B44,'Test Cases'!$W:$W,C44,'Test Cases'!$R:$R,"Failed")</f>
        <v/>
      </c>
      <c r="H44" s="5">
        <f>COUNTIFS('Test Cases'!$V:$V,A44,'Test Cases'!$U:$U,B44,'Test Cases'!$W:$W,C44,'Test Cases'!$R:$R,"Blocked")</f>
        <v/>
      </c>
      <c r="I44" s="6">
        <f>IFERROR(F44/E44,0)</f>
        <v/>
      </c>
      <c r="J44" s="5">
        <f>COUNTIF('Defect Log'!$M:$M,A44)</f>
        <v/>
      </c>
      <c r="K44" s="5">
        <f>COUNTIFS('Defect Log'!$C:$C,"Critical",'Defect Log'!$E:$E,"&lt;&gt;Closed")+COUNTIFS('Defect Log'!$C:$C,"High",'Defect Log'!$E:$E,"&lt;&gt;Closed")</f>
        <v/>
      </c>
      <c r="L44" s="5" t="n"/>
    </row>
    <row r="45">
      <c r="A45" s="5" t="n"/>
      <c r="B45" s="5" t="n"/>
      <c r="C45" s="5" t="n"/>
      <c r="D45" s="5">
        <f>COUNTIFS('Test Cases'!$V:$V,A45,'Test Cases'!$U:$U,B45,'Test Cases'!$W:$W,C45)</f>
        <v/>
      </c>
      <c r="E45" s="5">
        <f>SUM(F45:H45)</f>
        <v/>
      </c>
      <c r="F45" s="5">
        <f>COUNTIFS('Test Cases'!$V:$V,A45,'Test Cases'!$U:$U,B45,'Test Cases'!$W:$W,C45,'Test Cases'!$R:$R,"Passed")</f>
        <v/>
      </c>
      <c r="G45" s="5">
        <f>COUNTIFS('Test Cases'!$V:$V,A45,'Test Cases'!$U:$U,B45,'Test Cases'!$W:$W,C45,'Test Cases'!$R:$R,"Failed")</f>
        <v/>
      </c>
      <c r="H45" s="5">
        <f>COUNTIFS('Test Cases'!$V:$V,A45,'Test Cases'!$U:$U,B45,'Test Cases'!$W:$W,C45,'Test Cases'!$R:$R,"Blocked")</f>
        <v/>
      </c>
      <c r="I45" s="6">
        <f>IFERROR(F45/E45,0)</f>
        <v/>
      </c>
      <c r="J45" s="5">
        <f>COUNTIF('Defect Log'!$M:$M,A45)</f>
        <v/>
      </c>
      <c r="K45" s="5">
        <f>COUNTIFS('Defect Log'!$C:$C,"Critical",'Defect Log'!$E:$E,"&lt;&gt;Closed")+COUNTIFS('Defect Log'!$C:$C,"High",'Defect Log'!$E:$E,"&lt;&gt;Closed")</f>
        <v/>
      </c>
      <c r="L45" s="5" t="n"/>
    </row>
    <row r="46">
      <c r="A46" s="5" t="n"/>
      <c r="B46" s="5" t="n"/>
      <c r="C46" s="5" t="n"/>
      <c r="D46" s="5">
        <f>COUNTIFS('Test Cases'!$V:$V,A46,'Test Cases'!$U:$U,B46,'Test Cases'!$W:$W,C46)</f>
        <v/>
      </c>
      <c r="E46" s="5">
        <f>SUM(F46:H46)</f>
        <v/>
      </c>
      <c r="F46" s="5">
        <f>COUNTIFS('Test Cases'!$V:$V,A46,'Test Cases'!$U:$U,B46,'Test Cases'!$W:$W,C46,'Test Cases'!$R:$R,"Passed")</f>
        <v/>
      </c>
      <c r="G46" s="5">
        <f>COUNTIFS('Test Cases'!$V:$V,A46,'Test Cases'!$U:$U,B46,'Test Cases'!$W:$W,C46,'Test Cases'!$R:$R,"Failed")</f>
        <v/>
      </c>
      <c r="H46" s="5">
        <f>COUNTIFS('Test Cases'!$V:$V,A46,'Test Cases'!$U:$U,B46,'Test Cases'!$W:$W,C46,'Test Cases'!$R:$R,"Blocked")</f>
        <v/>
      </c>
      <c r="I46" s="6">
        <f>IFERROR(F46/E46,0)</f>
        <v/>
      </c>
      <c r="J46" s="5">
        <f>COUNTIF('Defect Log'!$M:$M,A46)</f>
        <v/>
      </c>
      <c r="K46" s="5">
        <f>COUNTIFS('Defect Log'!$C:$C,"Critical",'Defect Log'!$E:$E,"&lt;&gt;Closed")+COUNTIFS('Defect Log'!$C:$C,"High",'Defect Log'!$E:$E,"&lt;&gt;Closed")</f>
        <v/>
      </c>
      <c r="L46" s="5" t="n"/>
    </row>
    <row r="47">
      <c r="A47" s="5" t="n"/>
      <c r="B47" s="5" t="n"/>
      <c r="C47" s="5" t="n"/>
      <c r="D47" s="5">
        <f>COUNTIFS('Test Cases'!$V:$V,A47,'Test Cases'!$U:$U,B47,'Test Cases'!$W:$W,C47)</f>
        <v/>
      </c>
      <c r="E47" s="5">
        <f>SUM(F47:H47)</f>
        <v/>
      </c>
      <c r="F47" s="5">
        <f>COUNTIFS('Test Cases'!$V:$V,A47,'Test Cases'!$U:$U,B47,'Test Cases'!$W:$W,C47,'Test Cases'!$R:$R,"Passed")</f>
        <v/>
      </c>
      <c r="G47" s="5">
        <f>COUNTIFS('Test Cases'!$V:$V,A47,'Test Cases'!$U:$U,B47,'Test Cases'!$W:$W,C47,'Test Cases'!$R:$R,"Failed")</f>
        <v/>
      </c>
      <c r="H47" s="5">
        <f>COUNTIFS('Test Cases'!$V:$V,A47,'Test Cases'!$U:$U,B47,'Test Cases'!$W:$W,C47,'Test Cases'!$R:$R,"Blocked")</f>
        <v/>
      </c>
      <c r="I47" s="6">
        <f>IFERROR(F47/E47,0)</f>
        <v/>
      </c>
      <c r="J47" s="5">
        <f>COUNTIF('Defect Log'!$M:$M,A47)</f>
        <v/>
      </c>
      <c r="K47" s="5">
        <f>COUNTIFS('Defect Log'!$C:$C,"Critical",'Defect Log'!$E:$E,"&lt;&gt;Closed")+COUNTIFS('Defect Log'!$C:$C,"High",'Defect Log'!$E:$E,"&lt;&gt;Closed")</f>
        <v/>
      </c>
      <c r="L47" s="5" t="n"/>
    </row>
    <row r="48">
      <c r="A48" s="5" t="n"/>
      <c r="B48" s="5" t="n"/>
      <c r="C48" s="5" t="n"/>
      <c r="D48" s="5">
        <f>COUNTIFS('Test Cases'!$V:$V,A48,'Test Cases'!$U:$U,B48,'Test Cases'!$W:$W,C48)</f>
        <v/>
      </c>
      <c r="E48" s="5">
        <f>SUM(F48:H48)</f>
        <v/>
      </c>
      <c r="F48" s="5">
        <f>COUNTIFS('Test Cases'!$V:$V,A48,'Test Cases'!$U:$U,B48,'Test Cases'!$W:$W,C48,'Test Cases'!$R:$R,"Passed")</f>
        <v/>
      </c>
      <c r="G48" s="5">
        <f>COUNTIFS('Test Cases'!$V:$V,A48,'Test Cases'!$U:$U,B48,'Test Cases'!$W:$W,C48,'Test Cases'!$R:$R,"Failed")</f>
        <v/>
      </c>
      <c r="H48" s="5">
        <f>COUNTIFS('Test Cases'!$V:$V,A48,'Test Cases'!$U:$U,B48,'Test Cases'!$W:$W,C48,'Test Cases'!$R:$R,"Blocked")</f>
        <v/>
      </c>
      <c r="I48" s="6">
        <f>IFERROR(F48/E48,0)</f>
        <v/>
      </c>
      <c r="J48" s="5">
        <f>COUNTIF('Defect Log'!$M:$M,A48)</f>
        <v/>
      </c>
      <c r="K48" s="5">
        <f>COUNTIFS('Defect Log'!$C:$C,"Critical",'Defect Log'!$E:$E,"&lt;&gt;Closed")+COUNTIFS('Defect Log'!$C:$C,"High",'Defect Log'!$E:$E,"&lt;&gt;Closed")</f>
        <v/>
      </c>
      <c r="L48" s="5" t="n"/>
    </row>
    <row r="49">
      <c r="A49" s="5" t="n"/>
      <c r="B49" s="5" t="n"/>
      <c r="C49" s="5" t="n"/>
      <c r="D49" s="5">
        <f>COUNTIFS('Test Cases'!$V:$V,A49,'Test Cases'!$U:$U,B49,'Test Cases'!$W:$W,C49)</f>
        <v/>
      </c>
      <c r="E49" s="5">
        <f>SUM(F49:H49)</f>
        <v/>
      </c>
      <c r="F49" s="5">
        <f>COUNTIFS('Test Cases'!$V:$V,A49,'Test Cases'!$U:$U,B49,'Test Cases'!$W:$W,C49,'Test Cases'!$R:$R,"Passed")</f>
        <v/>
      </c>
      <c r="G49" s="5">
        <f>COUNTIFS('Test Cases'!$V:$V,A49,'Test Cases'!$U:$U,B49,'Test Cases'!$W:$W,C49,'Test Cases'!$R:$R,"Failed")</f>
        <v/>
      </c>
      <c r="H49" s="5">
        <f>COUNTIFS('Test Cases'!$V:$V,A49,'Test Cases'!$U:$U,B49,'Test Cases'!$W:$W,C49,'Test Cases'!$R:$R,"Blocked")</f>
        <v/>
      </c>
      <c r="I49" s="6">
        <f>IFERROR(F49/E49,0)</f>
        <v/>
      </c>
      <c r="J49" s="5">
        <f>COUNTIF('Defect Log'!$M:$M,A49)</f>
        <v/>
      </c>
      <c r="K49" s="5">
        <f>COUNTIFS('Defect Log'!$C:$C,"Critical",'Defect Log'!$E:$E,"&lt;&gt;Closed")+COUNTIFS('Defect Log'!$C:$C,"High",'Defect Log'!$E:$E,"&lt;&gt;Closed")</f>
        <v/>
      </c>
      <c r="L49" s="5" t="n"/>
    </row>
    <row r="50">
      <c r="A50" s="5" t="n"/>
      <c r="B50" s="5" t="n"/>
      <c r="C50" s="5" t="n"/>
      <c r="D50" s="5">
        <f>COUNTIFS('Test Cases'!$V:$V,A50,'Test Cases'!$U:$U,B50,'Test Cases'!$W:$W,C50)</f>
        <v/>
      </c>
      <c r="E50" s="5">
        <f>SUM(F50:H50)</f>
        <v/>
      </c>
      <c r="F50" s="5">
        <f>COUNTIFS('Test Cases'!$V:$V,A50,'Test Cases'!$U:$U,B50,'Test Cases'!$W:$W,C50,'Test Cases'!$R:$R,"Passed")</f>
        <v/>
      </c>
      <c r="G50" s="5">
        <f>COUNTIFS('Test Cases'!$V:$V,A50,'Test Cases'!$U:$U,B50,'Test Cases'!$W:$W,C50,'Test Cases'!$R:$R,"Failed")</f>
        <v/>
      </c>
      <c r="H50" s="5">
        <f>COUNTIFS('Test Cases'!$V:$V,A50,'Test Cases'!$U:$U,B50,'Test Cases'!$W:$W,C50,'Test Cases'!$R:$R,"Blocked")</f>
        <v/>
      </c>
      <c r="I50" s="6">
        <f>IFERROR(F50/E50,0)</f>
        <v/>
      </c>
      <c r="J50" s="5">
        <f>COUNTIF('Defect Log'!$M:$M,A50)</f>
        <v/>
      </c>
      <c r="K50" s="5">
        <f>COUNTIFS('Defect Log'!$C:$C,"Critical",'Defect Log'!$E:$E,"&lt;&gt;Closed")+COUNTIFS('Defect Log'!$C:$C,"High",'Defect Log'!$E:$E,"&lt;&gt;Closed")</f>
        <v/>
      </c>
      <c r="L50" s="5" t="n"/>
    </row>
    <row r="51">
      <c r="A51" s="5" t="n"/>
      <c r="B51" s="5" t="n"/>
      <c r="C51" s="5" t="n"/>
      <c r="D51" s="5">
        <f>COUNTIFS('Test Cases'!$V:$V,A51,'Test Cases'!$U:$U,B51,'Test Cases'!$W:$W,C51)</f>
        <v/>
      </c>
      <c r="E51" s="5">
        <f>SUM(F51:H51)</f>
        <v/>
      </c>
      <c r="F51" s="5">
        <f>COUNTIFS('Test Cases'!$V:$V,A51,'Test Cases'!$U:$U,B51,'Test Cases'!$W:$W,C51,'Test Cases'!$R:$R,"Passed")</f>
        <v/>
      </c>
      <c r="G51" s="5">
        <f>COUNTIFS('Test Cases'!$V:$V,A51,'Test Cases'!$U:$U,B51,'Test Cases'!$W:$W,C51,'Test Cases'!$R:$R,"Failed")</f>
        <v/>
      </c>
      <c r="H51" s="5">
        <f>COUNTIFS('Test Cases'!$V:$V,A51,'Test Cases'!$U:$U,B51,'Test Cases'!$W:$W,C51,'Test Cases'!$R:$R,"Blocked")</f>
        <v/>
      </c>
      <c r="I51" s="6">
        <f>IFERROR(F51/E51,0)</f>
        <v/>
      </c>
      <c r="J51" s="5">
        <f>COUNTIF('Defect Log'!$M:$M,A51)</f>
        <v/>
      </c>
      <c r="K51" s="5">
        <f>COUNTIFS('Defect Log'!$C:$C,"Critical",'Defect Log'!$E:$E,"&lt;&gt;Closed")+COUNTIFS('Defect Log'!$C:$C,"High",'Defect Log'!$E:$E,"&lt;&gt;Closed")</f>
        <v/>
      </c>
      <c r="L51" s="5" t="n"/>
    </row>
    <row r="52">
      <c r="A52" s="5" t="n"/>
      <c r="B52" s="5" t="n"/>
      <c r="C52" s="5" t="n"/>
      <c r="D52" s="5">
        <f>COUNTIFS('Test Cases'!$V:$V,A52,'Test Cases'!$U:$U,B52,'Test Cases'!$W:$W,C52)</f>
        <v/>
      </c>
      <c r="E52" s="5">
        <f>SUM(F52:H52)</f>
        <v/>
      </c>
      <c r="F52" s="5">
        <f>COUNTIFS('Test Cases'!$V:$V,A52,'Test Cases'!$U:$U,B52,'Test Cases'!$W:$W,C52,'Test Cases'!$R:$R,"Passed")</f>
        <v/>
      </c>
      <c r="G52" s="5">
        <f>COUNTIFS('Test Cases'!$V:$V,A52,'Test Cases'!$U:$U,B52,'Test Cases'!$W:$W,C52,'Test Cases'!$R:$R,"Failed")</f>
        <v/>
      </c>
      <c r="H52" s="5">
        <f>COUNTIFS('Test Cases'!$V:$V,A52,'Test Cases'!$U:$U,B52,'Test Cases'!$W:$W,C52,'Test Cases'!$R:$R,"Blocked")</f>
        <v/>
      </c>
      <c r="I52" s="6">
        <f>IFERROR(F52/E52,0)</f>
        <v/>
      </c>
      <c r="J52" s="5">
        <f>COUNTIF('Defect Log'!$M:$M,A52)</f>
        <v/>
      </c>
      <c r="K52" s="5">
        <f>COUNTIFS('Defect Log'!$C:$C,"Critical",'Defect Log'!$E:$E,"&lt;&gt;Closed")+COUNTIFS('Defect Log'!$C:$C,"High",'Defect Log'!$E:$E,"&lt;&gt;Closed")</f>
        <v/>
      </c>
      <c r="L52" s="5" t="n"/>
    </row>
    <row r="53">
      <c r="A53" s="5" t="n"/>
      <c r="B53" s="5" t="n"/>
      <c r="C53" s="5" t="n"/>
      <c r="D53" s="5">
        <f>COUNTIFS('Test Cases'!$V:$V,A53,'Test Cases'!$U:$U,B53,'Test Cases'!$W:$W,C53)</f>
        <v/>
      </c>
      <c r="E53" s="5">
        <f>SUM(F53:H53)</f>
        <v/>
      </c>
      <c r="F53" s="5">
        <f>COUNTIFS('Test Cases'!$V:$V,A53,'Test Cases'!$U:$U,B53,'Test Cases'!$W:$W,C53,'Test Cases'!$R:$R,"Passed")</f>
        <v/>
      </c>
      <c r="G53" s="5">
        <f>COUNTIFS('Test Cases'!$V:$V,A53,'Test Cases'!$U:$U,B53,'Test Cases'!$W:$W,C53,'Test Cases'!$R:$R,"Failed")</f>
        <v/>
      </c>
      <c r="H53" s="5">
        <f>COUNTIFS('Test Cases'!$V:$V,A53,'Test Cases'!$U:$U,B53,'Test Cases'!$W:$W,C53,'Test Cases'!$R:$R,"Blocked")</f>
        <v/>
      </c>
      <c r="I53" s="6">
        <f>IFERROR(F53/E53,0)</f>
        <v/>
      </c>
      <c r="J53" s="5">
        <f>COUNTIF('Defect Log'!$M:$M,A53)</f>
        <v/>
      </c>
      <c r="K53" s="5">
        <f>COUNTIFS('Defect Log'!$C:$C,"Critical",'Defect Log'!$E:$E,"&lt;&gt;Closed")+COUNTIFS('Defect Log'!$C:$C,"High",'Defect Log'!$E:$E,"&lt;&gt;Closed")</f>
        <v/>
      </c>
      <c r="L53" s="5" t="n"/>
    </row>
    <row r="54">
      <c r="A54" s="5" t="n"/>
      <c r="B54" s="5" t="n"/>
      <c r="C54" s="5" t="n"/>
      <c r="D54" s="5">
        <f>COUNTIFS('Test Cases'!$V:$V,A54,'Test Cases'!$U:$U,B54,'Test Cases'!$W:$W,C54)</f>
        <v/>
      </c>
      <c r="E54" s="5">
        <f>SUM(F54:H54)</f>
        <v/>
      </c>
      <c r="F54" s="5">
        <f>COUNTIFS('Test Cases'!$V:$V,A54,'Test Cases'!$U:$U,B54,'Test Cases'!$W:$W,C54,'Test Cases'!$R:$R,"Passed")</f>
        <v/>
      </c>
      <c r="G54" s="5">
        <f>COUNTIFS('Test Cases'!$V:$V,A54,'Test Cases'!$U:$U,B54,'Test Cases'!$W:$W,C54,'Test Cases'!$R:$R,"Failed")</f>
        <v/>
      </c>
      <c r="H54" s="5">
        <f>COUNTIFS('Test Cases'!$V:$V,A54,'Test Cases'!$U:$U,B54,'Test Cases'!$W:$W,C54,'Test Cases'!$R:$R,"Blocked")</f>
        <v/>
      </c>
      <c r="I54" s="6">
        <f>IFERROR(F54/E54,0)</f>
        <v/>
      </c>
      <c r="J54" s="5">
        <f>COUNTIF('Defect Log'!$M:$M,A54)</f>
        <v/>
      </c>
      <c r="K54" s="5">
        <f>COUNTIFS('Defect Log'!$C:$C,"Critical",'Defect Log'!$E:$E,"&lt;&gt;Closed")+COUNTIFS('Defect Log'!$C:$C,"High",'Defect Log'!$E:$E,"&lt;&gt;Closed")</f>
        <v/>
      </c>
      <c r="L54" s="5" t="n"/>
    </row>
    <row r="55">
      <c r="A55" s="5" t="n"/>
      <c r="B55" s="5" t="n"/>
      <c r="C55" s="5" t="n"/>
      <c r="D55" s="5">
        <f>COUNTIFS('Test Cases'!$V:$V,A55,'Test Cases'!$U:$U,B55,'Test Cases'!$W:$W,C55)</f>
        <v/>
      </c>
      <c r="E55" s="5">
        <f>SUM(F55:H55)</f>
        <v/>
      </c>
      <c r="F55" s="5">
        <f>COUNTIFS('Test Cases'!$V:$V,A55,'Test Cases'!$U:$U,B55,'Test Cases'!$W:$W,C55,'Test Cases'!$R:$R,"Passed")</f>
        <v/>
      </c>
      <c r="G55" s="5">
        <f>COUNTIFS('Test Cases'!$V:$V,A55,'Test Cases'!$U:$U,B55,'Test Cases'!$W:$W,C55,'Test Cases'!$R:$R,"Failed")</f>
        <v/>
      </c>
      <c r="H55" s="5">
        <f>COUNTIFS('Test Cases'!$V:$V,A55,'Test Cases'!$U:$U,B55,'Test Cases'!$W:$W,C55,'Test Cases'!$R:$R,"Blocked")</f>
        <v/>
      </c>
      <c r="I55" s="6">
        <f>IFERROR(F55/E55,0)</f>
        <v/>
      </c>
      <c r="J55" s="5">
        <f>COUNTIF('Defect Log'!$M:$M,A55)</f>
        <v/>
      </c>
      <c r="K55" s="5">
        <f>COUNTIFS('Defect Log'!$C:$C,"Critical",'Defect Log'!$E:$E,"&lt;&gt;Closed")+COUNTIFS('Defect Log'!$C:$C,"High",'Defect Log'!$E:$E,"&lt;&gt;Closed")</f>
        <v/>
      </c>
      <c r="L55" s="5" t="n"/>
    </row>
    <row r="56">
      <c r="A56" s="5" t="n"/>
      <c r="B56" s="5" t="n"/>
      <c r="C56" s="5" t="n"/>
      <c r="D56" s="5">
        <f>COUNTIFS('Test Cases'!$V:$V,A56,'Test Cases'!$U:$U,B56,'Test Cases'!$W:$W,C56)</f>
        <v/>
      </c>
      <c r="E56" s="5">
        <f>SUM(F56:H56)</f>
        <v/>
      </c>
      <c r="F56" s="5">
        <f>COUNTIFS('Test Cases'!$V:$V,A56,'Test Cases'!$U:$U,B56,'Test Cases'!$W:$W,C56,'Test Cases'!$R:$R,"Passed")</f>
        <v/>
      </c>
      <c r="G56" s="5">
        <f>COUNTIFS('Test Cases'!$V:$V,A56,'Test Cases'!$U:$U,B56,'Test Cases'!$W:$W,C56,'Test Cases'!$R:$R,"Failed")</f>
        <v/>
      </c>
      <c r="H56" s="5">
        <f>COUNTIFS('Test Cases'!$V:$V,A56,'Test Cases'!$U:$U,B56,'Test Cases'!$W:$W,C56,'Test Cases'!$R:$R,"Blocked")</f>
        <v/>
      </c>
      <c r="I56" s="6">
        <f>IFERROR(F56/E56,0)</f>
        <v/>
      </c>
      <c r="J56" s="5">
        <f>COUNTIF('Defect Log'!$M:$M,A56)</f>
        <v/>
      </c>
      <c r="K56" s="5">
        <f>COUNTIFS('Defect Log'!$C:$C,"Critical",'Defect Log'!$E:$E,"&lt;&gt;Closed")+COUNTIFS('Defect Log'!$C:$C,"High",'Defect Log'!$E:$E,"&lt;&gt;Closed")</f>
        <v/>
      </c>
      <c r="L56" s="5" t="n"/>
    </row>
    <row r="57">
      <c r="A57" s="5" t="n"/>
      <c r="B57" s="5" t="n"/>
      <c r="C57" s="5" t="n"/>
      <c r="D57" s="5">
        <f>COUNTIFS('Test Cases'!$V:$V,A57,'Test Cases'!$U:$U,B57,'Test Cases'!$W:$W,C57)</f>
        <v/>
      </c>
      <c r="E57" s="5">
        <f>SUM(F57:H57)</f>
        <v/>
      </c>
      <c r="F57" s="5">
        <f>COUNTIFS('Test Cases'!$V:$V,A57,'Test Cases'!$U:$U,B57,'Test Cases'!$W:$W,C57,'Test Cases'!$R:$R,"Passed")</f>
        <v/>
      </c>
      <c r="G57" s="5">
        <f>COUNTIFS('Test Cases'!$V:$V,A57,'Test Cases'!$U:$U,B57,'Test Cases'!$W:$W,C57,'Test Cases'!$R:$R,"Failed")</f>
        <v/>
      </c>
      <c r="H57" s="5">
        <f>COUNTIFS('Test Cases'!$V:$V,A57,'Test Cases'!$U:$U,B57,'Test Cases'!$W:$W,C57,'Test Cases'!$R:$R,"Blocked")</f>
        <v/>
      </c>
      <c r="I57" s="6">
        <f>IFERROR(F57/E57,0)</f>
        <v/>
      </c>
      <c r="J57" s="5">
        <f>COUNTIF('Defect Log'!$M:$M,A57)</f>
        <v/>
      </c>
      <c r="K57" s="5">
        <f>COUNTIFS('Defect Log'!$C:$C,"Critical",'Defect Log'!$E:$E,"&lt;&gt;Closed")+COUNTIFS('Defect Log'!$C:$C,"High",'Defect Log'!$E:$E,"&lt;&gt;Closed")</f>
        <v/>
      </c>
      <c r="L57" s="5" t="n"/>
    </row>
    <row r="58">
      <c r="A58" s="5" t="n"/>
      <c r="B58" s="5" t="n"/>
      <c r="C58" s="5" t="n"/>
      <c r="D58" s="5">
        <f>COUNTIFS('Test Cases'!$V:$V,A58,'Test Cases'!$U:$U,B58,'Test Cases'!$W:$W,C58)</f>
        <v/>
      </c>
      <c r="E58" s="5">
        <f>SUM(F58:H58)</f>
        <v/>
      </c>
      <c r="F58" s="5">
        <f>COUNTIFS('Test Cases'!$V:$V,A58,'Test Cases'!$U:$U,B58,'Test Cases'!$W:$W,C58,'Test Cases'!$R:$R,"Passed")</f>
        <v/>
      </c>
      <c r="G58" s="5">
        <f>COUNTIFS('Test Cases'!$V:$V,A58,'Test Cases'!$U:$U,B58,'Test Cases'!$W:$W,C58,'Test Cases'!$R:$R,"Failed")</f>
        <v/>
      </c>
      <c r="H58" s="5">
        <f>COUNTIFS('Test Cases'!$V:$V,A58,'Test Cases'!$U:$U,B58,'Test Cases'!$W:$W,C58,'Test Cases'!$R:$R,"Blocked")</f>
        <v/>
      </c>
      <c r="I58" s="6">
        <f>IFERROR(F58/E58,0)</f>
        <v/>
      </c>
      <c r="J58" s="5">
        <f>COUNTIF('Defect Log'!$M:$M,A58)</f>
        <v/>
      </c>
      <c r="K58" s="5">
        <f>COUNTIFS('Defect Log'!$C:$C,"Critical",'Defect Log'!$E:$E,"&lt;&gt;Closed")+COUNTIFS('Defect Log'!$C:$C,"High",'Defect Log'!$E:$E,"&lt;&gt;Closed")</f>
        <v/>
      </c>
      <c r="L58" s="5" t="n"/>
    </row>
    <row r="59">
      <c r="A59" s="5" t="n"/>
      <c r="B59" s="5" t="n"/>
      <c r="C59" s="5" t="n"/>
      <c r="D59" s="5">
        <f>COUNTIFS('Test Cases'!$V:$V,A59,'Test Cases'!$U:$U,B59,'Test Cases'!$W:$W,C59)</f>
        <v/>
      </c>
      <c r="E59" s="5">
        <f>SUM(F59:H59)</f>
        <v/>
      </c>
      <c r="F59" s="5">
        <f>COUNTIFS('Test Cases'!$V:$V,A59,'Test Cases'!$U:$U,B59,'Test Cases'!$W:$W,C59,'Test Cases'!$R:$R,"Passed")</f>
        <v/>
      </c>
      <c r="G59" s="5">
        <f>COUNTIFS('Test Cases'!$V:$V,A59,'Test Cases'!$U:$U,B59,'Test Cases'!$W:$W,C59,'Test Cases'!$R:$R,"Failed")</f>
        <v/>
      </c>
      <c r="H59" s="5">
        <f>COUNTIFS('Test Cases'!$V:$V,A59,'Test Cases'!$U:$U,B59,'Test Cases'!$W:$W,C59,'Test Cases'!$R:$R,"Blocked")</f>
        <v/>
      </c>
      <c r="I59" s="6">
        <f>IFERROR(F59/E59,0)</f>
        <v/>
      </c>
      <c r="J59" s="5">
        <f>COUNTIF('Defect Log'!$M:$M,A59)</f>
        <v/>
      </c>
      <c r="K59" s="5">
        <f>COUNTIFS('Defect Log'!$C:$C,"Critical",'Defect Log'!$E:$E,"&lt;&gt;Closed")+COUNTIFS('Defect Log'!$C:$C,"High",'Defect Log'!$E:$E,"&lt;&gt;Closed")</f>
        <v/>
      </c>
      <c r="L59" s="5" t="n"/>
    </row>
    <row r="60">
      <c r="A60" s="5" t="n"/>
      <c r="B60" s="5" t="n"/>
      <c r="C60" s="5" t="n"/>
      <c r="D60" s="5">
        <f>COUNTIFS('Test Cases'!$V:$V,A60,'Test Cases'!$U:$U,B60,'Test Cases'!$W:$W,C60)</f>
        <v/>
      </c>
      <c r="E60" s="5">
        <f>SUM(F60:H60)</f>
        <v/>
      </c>
      <c r="F60" s="5">
        <f>COUNTIFS('Test Cases'!$V:$V,A60,'Test Cases'!$U:$U,B60,'Test Cases'!$W:$W,C60,'Test Cases'!$R:$R,"Passed")</f>
        <v/>
      </c>
      <c r="G60" s="5">
        <f>COUNTIFS('Test Cases'!$V:$V,A60,'Test Cases'!$U:$U,B60,'Test Cases'!$W:$W,C60,'Test Cases'!$R:$R,"Failed")</f>
        <v/>
      </c>
      <c r="H60" s="5">
        <f>COUNTIFS('Test Cases'!$V:$V,A60,'Test Cases'!$U:$U,B60,'Test Cases'!$W:$W,C60,'Test Cases'!$R:$R,"Blocked")</f>
        <v/>
      </c>
      <c r="I60" s="6">
        <f>IFERROR(F60/E60,0)</f>
        <v/>
      </c>
      <c r="J60" s="5">
        <f>COUNTIF('Defect Log'!$M:$M,A60)</f>
        <v/>
      </c>
      <c r="K60" s="5">
        <f>COUNTIFS('Defect Log'!$C:$C,"Critical",'Defect Log'!$E:$E,"&lt;&gt;Closed")+COUNTIFS('Defect Log'!$C:$C,"High",'Defect Log'!$E:$E,"&lt;&gt;Closed")</f>
        <v/>
      </c>
      <c r="L60" s="5" t="n"/>
    </row>
    <row r="61">
      <c r="A61" s="5" t="n"/>
      <c r="B61" s="5" t="n"/>
      <c r="C61" s="5" t="n"/>
      <c r="D61" s="5">
        <f>COUNTIFS('Test Cases'!$V:$V,A61,'Test Cases'!$U:$U,B61,'Test Cases'!$W:$W,C61)</f>
        <v/>
      </c>
      <c r="E61" s="5">
        <f>SUM(F61:H61)</f>
        <v/>
      </c>
      <c r="F61" s="5">
        <f>COUNTIFS('Test Cases'!$V:$V,A61,'Test Cases'!$U:$U,B61,'Test Cases'!$W:$W,C61,'Test Cases'!$R:$R,"Passed")</f>
        <v/>
      </c>
      <c r="G61" s="5">
        <f>COUNTIFS('Test Cases'!$V:$V,A61,'Test Cases'!$U:$U,B61,'Test Cases'!$W:$W,C61,'Test Cases'!$R:$R,"Failed")</f>
        <v/>
      </c>
      <c r="H61" s="5">
        <f>COUNTIFS('Test Cases'!$V:$V,A61,'Test Cases'!$U:$U,B61,'Test Cases'!$W:$W,C61,'Test Cases'!$R:$R,"Blocked")</f>
        <v/>
      </c>
      <c r="I61" s="6">
        <f>IFERROR(F61/E61,0)</f>
        <v/>
      </c>
      <c r="J61" s="5">
        <f>COUNTIF('Defect Log'!$M:$M,A61)</f>
        <v/>
      </c>
      <c r="K61" s="5">
        <f>COUNTIFS('Defect Log'!$C:$C,"Critical",'Defect Log'!$E:$E,"&lt;&gt;Closed")+COUNTIFS('Defect Log'!$C:$C,"High",'Defect Log'!$E:$E,"&lt;&gt;Closed")</f>
        <v/>
      </c>
      <c r="L61" s="5" t="n"/>
    </row>
    <row r="62">
      <c r="A62" s="5" t="n"/>
      <c r="B62" s="5" t="n"/>
      <c r="C62" s="5" t="n"/>
      <c r="D62" s="5">
        <f>COUNTIFS('Test Cases'!$V:$V,A62,'Test Cases'!$U:$U,B62,'Test Cases'!$W:$W,C62)</f>
        <v/>
      </c>
      <c r="E62" s="5">
        <f>SUM(F62:H62)</f>
        <v/>
      </c>
      <c r="F62" s="5">
        <f>COUNTIFS('Test Cases'!$V:$V,A62,'Test Cases'!$U:$U,B62,'Test Cases'!$W:$W,C62,'Test Cases'!$R:$R,"Passed")</f>
        <v/>
      </c>
      <c r="G62" s="5">
        <f>COUNTIFS('Test Cases'!$V:$V,A62,'Test Cases'!$U:$U,B62,'Test Cases'!$W:$W,C62,'Test Cases'!$R:$R,"Failed")</f>
        <v/>
      </c>
      <c r="H62" s="5">
        <f>COUNTIFS('Test Cases'!$V:$V,A62,'Test Cases'!$U:$U,B62,'Test Cases'!$W:$W,C62,'Test Cases'!$R:$R,"Blocked")</f>
        <v/>
      </c>
      <c r="I62" s="6">
        <f>IFERROR(F62/E62,0)</f>
        <v/>
      </c>
      <c r="J62" s="5">
        <f>COUNTIF('Defect Log'!$M:$M,A62)</f>
        <v/>
      </c>
      <c r="K62" s="5">
        <f>COUNTIFS('Defect Log'!$C:$C,"Critical",'Defect Log'!$E:$E,"&lt;&gt;Closed")+COUNTIFS('Defect Log'!$C:$C,"High",'Defect Log'!$E:$E,"&lt;&gt;Closed")</f>
        <v/>
      </c>
      <c r="L62" s="5" t="n"/>
    </row>
    <row r="63">
      <c r="A63" s="5" t="n"/>
      <c r="B63" s="5" t="n"/>
      <c r="C63" s="5" t="n"/>
      <c r="D63" s="5">
        <f>COUNTIFS('Test Cases'!$V:$V,A63,'Test Cases'!$U:$U,B63,'Test Cases'!$W:$W,C63)</f>
        <v/>
      </c>
      <c r="E63" s="5">
        <f>SUM(F63:H63)</f>
        <v/>
      </c>
      <c r="F63" s="5">
        <f>COUNTIFS('Test Cases'!$V:$V,A63,'Test Cases'!$U:$U,B63,'Test Cases'!$W:$W,C63,'Test Cases'!$R:$R,"Passed")</f>
        <v/>
      </c>
      <c r="G63" s="5">
        <f>COUNTIFS('Test Cases'!$V:$V,A63,'Test Cases'!$U:$U,B63,'Test Cases'!$W:$W,C63,'Test Cases'!$R:$R,"Failed")</f>
        <v/>
      </c>
      <c r="H63" s="5">
        <f>COUNTIFS('Test Cases'!$V:$V,A63,'Test Cases'!$U:$U,B63,'Test Cases'!$W:$W,C63,'Test Cases'!$R:$R,"Blocked")</f>
        <v/>
      </c>
      <c r="I63" s="6">
        <f>IFERROR(F63/E63,0)</f>
        <v/>
      </c>
      <c r="J63" s="5">
        <f>COUNTIF('Defect Log'!$M:$M,A63)</f>
        <v/>
      </c>
      <c r="K63" s="5">
        <f>COUNTIFS('Defect Log'!$C:$C,"Critical",'Defect Log'!$E:$E,"&lt;&gt;Closed")+COUNTIFS('Defect Log'!$C:$C,"High",'Defect Log'!$E:$E,"&lt;&gt;Closed")</f>
        <v/>
      </c>
      <c r="L63" s="5" t="n"/>
    </row>
    <row r="64">
      <c r="A64" s="5" t="n"/>
      <c r="B64" s="5" t="n"/>
      <c r="C64" s="5" t="n"/>
      <c r="D64" s="5">
        <f>COUNTIFS('Test Cases'!$V:$V,A64,'Test Cases'!$U:$U,B64,'Test Cases'!$W:$W,C64)</f>
        <v/>
      </c>
      <c r="E64" s="5">
        <f>SUM(F64:H64)</f>
        <v/>
      </c>
      <c r="F64" s="5">
        <f>COUNTIFS('Test Cases'!$V:$V,A64,'Test Cases'!$U:$U,B64,'Test Cases'!$W:$W,C64,'Test Cases'!$R:$R,"Passed")</f>
        <v/>
      </c>
      <c r="G64" s="5">
        <f>COUNTIFS('Test Cases'!$V:$V,A64,'Test Cases'!$U:$U,B64,'Test Cases'!$W:$W,C64,'Test Cases'!$R:$R,"Failed")</f>
        <v/>
      </c>
      <c r="H64" s="5">
        <f>COUNTIFS('Test Cases'!$V:$V,A64,'Test Cases'!$U:$U,B64,'Test Cases'!$W:$W,C64,'Test Cases'!$R:$R,"Blocked")</f>
        <v/>
      </c>
      <c r="I64" s="6">
        <f>IFERROR(F64/E64,0)</f>
        <v/>
      </c>
      <c r="J64" s="5">
        <f>COUNTIF('Defect Log'!$M:$M,A64)</f>
        <v/>
      </c>
      <c r="K64" s="5">
        <f>COUNTIFS('Defect Log'!$C:$C,"Critical",'Defect Log'!$E:$E,"&lt;&gt;Closed")+COUNTIFS('Defect Log'!$C:$C,"High",'Defect Log'!$E:$E,"&lt;&gt;Closed")</f>
        <v/>
      </c>
      <c r="L64" s="5" t="n"/>
    </row>
    <row r="65">
      <c r="A65" s="5" t="n"/>
      <c r="B65" s="5" t="n"/>
      <c r="C65" s="5" t="n"/>
      <c r="D65" s="5">
        <f>COUNTIFS('Test Cases'!$V:$V,A65,'Test Cases'!$U:$U,B65,'Test Cases'!$W:$W,C65)</f>
        <v/>
      </c>
      <c r="E65" s="5">
        <f>SUM(F65:H65)</f>
        <v/>
      </c>
      <c r="F65" s="5">
        <f>COUNTIFS('Test Cases'!$V:$V,A65,'Test Cases'!$U:$U,B65,'Test Cases'!$W:$W,C65,'Test Cases'!$R:$R,"Passed")</f>
        <v/>
      </c>
      <c r="G65" s="5">
        <f>COUNTIFS('Test Cases'!$V:$V,A65,'Test Cases'!$U:$U,B65,'Test Cases'!$W:$W,C65,'Test Cases'!$R:$R,"Failed")</f>
        <v/>
      </c>
      <c r="H65" s="5">
        <f>COUNTIFS('Test Cases'!$V:$V,A65,'Test Cases'!$U:$U,B65,'Test Cases'!$W:$W,C65,'Test Cases'!$R:$R,"Blocked")</f>
        <v/>
      </c>
      <c r="I65" s="6">
        <f>IFERROR(F65/E65,0)</f>
        <v/>
      </c>
      <c r="J65" s="5">
        <f>COUNTIF('Defect Log'!$M:$M,A65)</f>
        <v/>
      </c>
      <c r="K65" s="5">
        <f>COUNTIFS('Defect Log'!$C:$C,"Critical",'Defect Log'!$E:$E,"&lt;&gt;Closed")+COUNTIFS('Defect Log'!$C:$C,"High",'Defect Log'!$E:$E,"&lt;&gt;Closed")</f>
        <v/>
      </c>
      <c r="L65" s="5" t="n"/>
    </row>
    <row r="66">
      <c r="A66" s="5" t="n"/>
      <c r="B66" s="5" t="n"/>
      <c r="C66" s="5" t="n"/>
      <c r="D66" s="5">
        <f>COUNTIFS('Test Cases'!$V:$V,A66,'Test Cases'!$U:$U,B66,'Test Cases'!$W:$W,C66)</f>
        <v/>
      </c>
      <c r="E66" s="5">
        <f>SUM(F66:H66)</f>
        <v/>
      </c>
      <c r="F66" s="5">
        <f>COUNTIFS('Test Cases'!$V:$V,A66,'Test Cases'!$U:$U,B66,'Test Cases'!$W:$W,C66,'Test Cases'!$R:$R,"Passed")</f>
        <v/>
      </c>
      <c r="G66" s="5">
        <f>COUNTIFS('Test Cases'!$V:$V,A66,'Test Cases'!$U:$U,B66,'Test Cases'!$W:$W,C66,'Test Cases'!$R:$R,"Failed")</f>
        <v/>
      </c>
      <c r="H66" s="5">
        <f>COUNTIFS('Test Cases'!$V:$V,A66,'Test Cases'!$U:$U,B66,'Test Cases'!$W:$W,C66,'Test Cases'!$R:$R,"Blocked")</f>
        <v/>
      </c>
      <c r="I66" s="6">
        <f>IFERROR(F66/E66,0)</f>
        <v/>
      </c>
      <c r="J66" s="5">
        <f>COUNTIF('Defect Log'!$M:$M,A66)</f>
        <v/>
      </c>
      <c r="K66" s="5">
        <f>COUNTIFS('Defect Log'!$C:$C,"Critical",'Defect Log'!$E:$E,"&lt;&gt;Closed")+COUNTIFS('Defect Log'!$C:$C,"High",'Defect Log'!$E:$E,"&lt;&gt;Closed")</f>
        <v/>
      </c>
      <c r="L66" s="5" t="n"/>
    </row>
    <row r="67">
      <c r="A67" s="5" t="n"/>
      <c r="B67" s="5" t="n"/>
      <c r="C67" s="5" t="n"/>
      <c r="D67" s="5">
        <f>COUNTIFS('Test Cases'!$V:$V,A67,'Test Cases'!$U:$U,B67,'Test Cases'!$W:$W,C67)</f>
        <v/>
      </c>
      <c r="E67" s="5">
        <f>SUM(F67:H67)</f>
        <v/>
      </c>
      <c r="F67" s="5">
        <f>COUNTIFS('Test Cases'!$V:$V,A67,'Test Cases'!$U:$U,B67,'Test Cases'!$W:$W,C67,'Test Cases'!$R:$R,"Passed")</f>
        <v/>
      </c>
      <c r="G67" s="5">
        <f>COUNTIFS('Test Cases'!$V:$V,A67,'Test Cases'!$U:$U,B67,'Test Cases'!$W:$W,C67,'Test Cases'!$R:$R,"Failed")</f>
        <v/>
      </c>
      <c r="H67" s="5">
        <f>COUNTIFS('Test Cases'!$V:$V,A67,'Test Cases'!$U:$U,B67,'Test Cases'!$W:$W,C67,'Test Cases'!$R:$R,"Blocked")</f>
        <v/>
      </c>
      <c r="I67" s="6">
        <f>IFERROR(F67/E67,0)</f>
        <v/>
      </c>
      <c r="J67" s="5">
        <f>COUNTIF('Defect Log'!$M:$M,A67)</f>
        <v/>
      </c>
      <c r="K67" s="5">
        <f>COUNTIFS('Defect Log'!$C:$C,"Critical",'Defect Log'!$E:$E,"&lt;&gt;Closed")+COUNTIFS('Defect Log'!$C:$C,"High",'Defect Log'!$E:$E,"&lt;&gt;Closed")</f>
        <v/>
      </c>
      <c r="L67" s="5" t="n"/>
    </row>
    <row r="68">
      <c r="A68" s="5" t="n"/>
      <c r="B68" s="5" t="n"/>
      <c r="C68" s="5" t="n"/>
      <c r="D68" s="5">
        <f>COUNTIFS('Test Cases'!$V:$V,A68,'Test Cases'!$U:$U,B68,'Test Cases'!$W:$W,C68)</f>
        <v/>
      </c>
      <c r="E68" s="5">
        <f>SUM(F68:H68)</f>
        <v/>
      </c>
      <c r="F68" s="5">
        <f>COUNTIFS('Test Cases'!$V:$V,A68,'Test Cases'!$U:$U,B68,'Test Cases'!$W:$W,C68,'Test Cases'!$R:$R,"Passed")</f>
        <v/>
      </c>
      <c r="G68" s="5">
        <f>COUNTIFS('Test Cases'!$V:$V,A68,'Test Cases'!$U:$U,B68,'Test Cases'!$W:$W,C68,'Test Cases'!$R:$R,"Failed")</f>
        <v/>
      </c>
      <c r="H68" s="5">
        <f>COUNTIFS('Test Cases'!$V:$V,A68,'Test Cases'!$U:$U,B68,'Test Cases'!$W:$W,C68,'Test Cases'!$R:$R,"Blocked")</f>
        <v/>
      </c>
      <c r="I68" s="6">
        <f>IFERROR(F68/E68,0)</f>
        <v/>
      </c>
      <c r="J68" s="5">
        <f>COUNTIF('Defect Log'!$M:$M,A68)</f>
        <v/>
      </c>
      <c r="K68" s="5">
        <f>COUNTIFS('Defect Log'!$C:$C,"Critical",'Defect Log'!$E:$E,"&lt;&gt;Closed")+COUNTIFS('Defect Log'!$C:$C,"High",'Defect Log'!$E:$E,"&lt;&gt;Closed")</f>
        <v/>
      </c>
      <c r="L68" s="5" t="n"/>
    </row>
    <row r="69">
      <c r="A69" s="5" t="n"/>
      <c r="B69" s="5" t="n"/>
      <c r="C69" s="5" t="n"/>
      <c r="D69" s="5">
        <f>COUNTIFS('Test Cases'!$V:$V,A69,'Test Cases'!$U:$U,B69,'Test Cases'!$W:$W,C69)</f>
        <v/>
      </c>
      <c r="E69" s="5">
        <f>SUM(F69:H69)</f>
        <v/>
      </c>
      <c r="F69" s="5">
        <f>COUNTIFS('Test Cases'!$V:$V,A69,'Test Cases'!$U:$U,B69,'Test Cases'!$W:$W,C69,'Test Cases'!$R:$R,"Passed")</f>
        <v/>
      </c>
      <c r="G69" s="5">
        <f>COUNTIFS('Test Cases'!$V:$V,A69,'Test Cases'!$U:$U,B69,'Test Cases'!$W:$W,C69,'Test Cases'!$R:$R,"Failed")</f>
        <v/>
      </c>
      <c r="H69" s="5">
        <f>COUNTIFS('Test Cases'!$V:$V,A69,'Test Cases'!$U:$U,B69,'Test Cases'!$W:$W,C69,'Test Cases'!$R:$R,"Blocked")</f>
        <v/>
      </c>
      <c r="I69" s="6">
        <f>IFERROR(F69/E69,0)</f>
        <v/>
      </c>
      <c r="J69" s="5">
        <f>COUNTIF('Defect Log'!$M:$M,A69)</f>
        <v/>
      </c>
      <c r="K69" s="5">
        <f>COUNTIFS('Defect Log'!$C:$C,"Critical",'Defect Log'!$E:$E,"&lt;&gt;Closed")+COUNTIFS('Defect Log'!$C:$C,"High",'Defect Log'!$E:$E,"&lt;&gt;Closed")</f>
        <v/>
      </c>
      <c r="L69" s="5" t="n"/>
    </row>
    <row r="70">
      <c r="A70" s="5" t="n"/>
      <c r="B70" s="5" t="n"/>
      <c r="C70" s="5" t="n"/>
      <c r="D70" s="5">
        <f>COUNTIFS('Test Cases'!$V:$V,A70,'Test Cases'!$U:$U,B70,'Test Cases'!$W:$W,C70)</f>
        <v/>
      </c>
      <c r="E70" s="5">
        <f>SUM(F70:H70)</f>
        <v/>
      </c>
      <c r="F70" s="5">
        <f>COUNTIFS('Test Cases'!$V:$V,A70,'Test Cases'!$U:$U,B70,'Test Cases'!$W:$W,C70,'Test Cases'!$R:$R,"Passed")</f>
        <v/>
      </c>
      <c r="G70" s="5">
        <f>COUNTIFS('Test Cases'!$V:$V,A70,'Test Cases'!$U:$U,B70,'Test Cases'!$W:$W,C70,'Test Cases'!$R:$R,"Failed")</f>
        <v/>
      </c>
      <c r="H70" s="5">
        <f>COUNTIFS('Test Cases'!$V:$V,A70,'Test Cases'!$U:$U,B70,'Test Cases'!$W:$W,C70,'Test Cases'!$R:$R,"Blocked")</f>
        <v/>
      </c>
      <c r="I70" s="6">
        <f>IFERROR(F70/E70,0)</f>
        <v/>
      </c>
      <c r="J70" s="5">
        <f>COUNTIF('Defect Log'!$M:$M,A70)</f>
        <v/>
      </c>
      <c r="K70" s="5">
        <f>COUNTIFS('Defect Log'!$C:$C,"Critical",'Defect Log'!$E:$E,"&lt;&gt;Closed")+COUNTIFS('Defect Log'!$C:$C,"High",'Defect Log'!$E:$E,"&lt;&gt;Closed")</f>
        <v/>
      </c>
      <c r="L70" s="5" t="n"/>
    </row>
    <row r="71">
      <c r="A71" s="5" t="n"/>
      <c r="B71" s="5" t="n"/>
      <c r="C71" s="5" t="n"/>
      <c r="D71" s="5">
        <f>COUNTIFS('Test Cases'!$V:$V,A71,'Test Cases'!$U:$U,B71,'Test Cases'!$W:$W,C71)</f>
        <v/>
      </c>
      <c r="E71" s="5">
        <f>SUM(F71:H71)</f>
        <v/>
      </c>
      <c r="F71" s="5">
        <f>COUNTIFS('Test Cases'!$V:$V,A71,'Test Cases'!$U:$U,B71,'Test Cases'!$W:$W,C71,'Test Cases'!$R:$R,"Passed")</f>
        <v/>
      </c>
      <c r="G71" s="5">
        <f>COUNTIFS('Test Cases'!$V:$V,A71,'Test Cases'!$U:$U,B71,'Test Cases'!$W:$W,C71,'Test Cases'!$R:$R,"Failed")</f>
        <v/>
      </c>
      <c r="H71" s="5">
        <f>COUNTIFS('Test Cases'!$V:$V,A71,'Test Cases'!$U:$U,B71,'Test Cases'!$W:$W,C71,'Test Cases'!$R:$R,"Blocked")</f>
        <v/>
      </c>
      <c r="I71" s="6">
        <f>IFERROR(F71/E71,0)</f>
        <v/>
      </c>
      <c r="J71" s="5">
        <f>COUNTIF('Defect Log'!$M:$M,A71)</f>
        <v/>
      </c>
      <c r="K71" s="5">
        <f>COUNTIFS('Defect Log'!$C:$C,"Critical",'Defect Log'!$E:$E,"&lt;&gt;Closed")+COUNTIFS('Defect Log'!$C:$C,"High",'Defect Log'!$E:$E,"&lt;&gt;Closed")</f>
        <v/>
      </c>
      <c r="L71" s="5" t="n"/>
    </row>
    <row r="72">
      <c r="A72" s="5" t="n"/>
      <c r="B72" s="5" t="n"/>
      <c r="C72" s="5" t="n"/>
      <c r="D72" s="5">
        <f>COUNTIFS('Test Cases'!$V:$V,A72,'Test Cases'!$U:$U,B72,'Test Cases'!$W:$W,C72)</f>
        <v/>
      </c>
      <c r="E72" s="5">
        <f>SUM(F72:H72)</f>
        <v/>
      </c>
      <c r="F72" s="5">
        <f>COUNTIFS('Test Cases'!$V:$V,A72,'Test Cases'!$U:$U,B72,'Test Cases'!$W:$W,C72,'Test Cases'!$R:$R,"Passed")</f>
        <v/>
      </c>
      <c r="G72" s="5">
        <f>COUNTIFS('Test Cases'!$V:$V,A72,'Test Cases'!$U:$U,B72,'Test Cases'!$W:$W,C72,'Test Cases'!$R:$R,"Failed")</f>
        <v/>
      </c>
      <c r="H72" s="5">
        <f>COUNTIFS('Test Cases'!$V:$V,A72,'Test Cases'!$U:$U,B72,'Test Cases'!$W:$W,C72,'Test Cases'!$R:$R,"Blocked")</f>
        <v/>
      </c>
      <c r="I72" s="6">
        <f>IFERROR(F72/E72,0)</f>
        <v/>
      </c>
      <c r="J72" s="5">
        <f>COUNTIF('Defect Log'!$M:$M,A72)</f>
        <v/>
      </c>
      <c r="K72" s="5">
        <f>COUNTIFS('Defect Log'!$C:$C,"Critical",'Defect Log'!$E:$E,"&lt;&gt;Closed")+COUNTIFS('Defect Log'!$C:$C,"High",'Defect Log'!$E:$E,"&lt;&gt;Closed")</f>
        <v/>
      </c>
      <c r="L72" s="5" t="n"/>
    </row>
    <row r="73">
      <c r="A73" s="5" t="n"/>
      <c r="B73" s="5" t="n"/>
      <c r="C73" s="5" t="n"/>
      <c r="D73" s="5">
        <f>COUNTIFS('Test Cases'!$V:$V,A73,'Test Cases'!$U:$U,B73,'Test Cases'!$W:$W,C73)</f>
        <v/>
      </c>
      <c r="E73" s="5">
        <f>SUM(F73:H73)</f>
        <v/>
      </c>
      <c r="F73" s="5">
        <f>COUNTIFS('Test Cases'!$V:$V,A73,'Test Cases'!$U:$U,B73,'Test Cases'!$W:$W,C73,'Test Cases'!$R:$R,"Passed")</f>
        <v/>
      </c>
      <c r="G73" s="5">
        <f>COUNTIFS('Test Cases'!$V:$V,A73,'Test Cases'!$U:$U,B73,'Test Cases'!$W:$W,C73,'Test Cases'!$R:$R,"Failed")</f>
        <v/>
      </c>
      <c r="H73" s="5">
        <f>COUNTIFS('Test Cases'!$V:$V,A73,'Test Cases'!$U:$U,B73,'Test Cases'!$W:$W,C73,'Test Cases'!$R:$R,"Blocked")</f>
        <v/>
      </c>
      <c r="I73" s="6">
        <f>IFERROR(F73/E73,0)</f>
        <v/>
      </c>
      <c r="J73" s="5">
        <f>COUNTIF('Defect Log'!$M:$M,A73)</f>
        <v/>
      </c>
      <c r="K73" s="5">
        <f>COUNTIFS('Defect Log'!$C:$C,"Critical",'Defect Log'!$E:$E,"&lt;&gt;Closed")+COUNTIFS('Defect Log'!$C:$C,"High",'Defect Log'!$E:$E,"&lt;&gt;Closed")</f>
        <v/>
      </c>
      <c r="L73" s="5" t="n"/>
    </row>
    <row r="74">
      <c r="A74" s="5" t="n"/>
      <c r="B74" s="5" t="n"/>
      <c r="C74" s="5" t="n"/>
      <c r="D74" s="5">
        <f>COUNTIFS('Test Cases'!$V:$V,A74,'Test Cases'!$U:$U,B74,'Test Cases'!$W:$W,C74)</f>
        <v/>
      </c>
      <c r="E74" s="5">
        <f>SUM(F74:H74)</f>
        <v/>
      </c>
      <c r="F74" s="5">
        <f>COUNTIFS('Test Cases'!$V:$V,A74,'Test Cases'!$U:$U,B74,'Test Cases'!$W:$W,C74,'Test Cases'!$R:$R,"Passed")</f>
        <v/>
      </c>
      <c r="G74" s="5">
        <f>COUNTIFS('Test Cases'!$V:$V,A74,'Test Cases'!$U:$U,B74,'Test Cases'!$W:$W,C74,'Test Cases'!$R:$R,"Failed")</f>
        <v/>
      </c>
      <c r="H74" s="5">
        <f>COUNTIFS('Test Cases'!$V:$V,A74,'Test Cases'!$U:$U,B74,'Test Cases'!$W:$W,C74,'Test Cases'!$R:$R,"Blocked")</f>
        <v/>
      </c>
      <c r="I74" s="6">
        <f>IFERROR(F74/E74,0)</f>
        <v/>
      </c>
      <c r="J74" s="5">
        <f>COUNTIF('Defect Log'!$M:$M,A74)</f>
        <v/>
      </c>
      <c r="K74" s="5">
        <f>COUNTIFS('Defect Log'!$C:$C,"Critical",'Defect Log'!$E:$E,"&lt;&gt;Closed")+COUNTIFS('Defect Log'!$C:$C,"High",'Defect Log'!$E:$E,"&lt;&gt;Closed")</f>
        <v/>
      </c>
      <c r="L74" s="5" t="n"/>
    </row>
    <row r="75">
      <c r="A75" s="5" t="n"/>
      <c r="B75" s="5" t="n"/>
      <c r="C75" s="5" t="n"/>
      <c r="D75" s="5">
        <f>COUNTIFS('Test Cases'!$V:$V,A75,'Test Cases'!$U:$U,B75,'Test Cases'!$W:$W,C75)</f>
        <v/>
      </c>
      <c r="E75" s="5">
        <f>SUM(F75:H75)</f>
        <v/>
      </c>
      <c r="F75" s="5">
        <f>COUNTIFS('Test Cases'!$V:$V,A75,'Test Cases'!$U:$U,B75,'Test Cases'!$W:$W,C75,'Test Cases'!$R:$R,"Passed")</f>
        <v/>
      </c>
      <c r="G75" s="5">
        <f>COUNTIFS('Test Cases'!$V:$V,A75,'Test Cases'!$U:$U,B75,'Test Cases'!$W:$W,C75,'Test Cases'!$R:$R,"Failed")</f>
        <v/>
      </c>
      <c r="H75" s="5">
        <f>COUNTIFS('Test Cases'!$V:$V,A75,'Test Cases'!$U:$U,B75,'Test Cases'!$W:$W,C75,'Test Cases'!$R:$R,"Blocked")</f>
        <v/>
      </c>
      <c r="I75" s="6">
        <f>IFERROR(F75/E75,0)</f>
        <v/>
      </c>
      <c r="J75" s="5">
        <f>COUNTIF('Defect Log'!$M:$M,A75)</f>
        <v/>
      </c>
      <c r="K75" s="5">
        <f>COUNTIFS('Defect Log'!$C:$C,"Critical",'Defect Log'!$E:$E,"&lt;&gt;Closed")+COUNTIFS('Defect Log'!$C:$C,"High",'Defect Log'!$E:$E,"&lt;&gt;Closed")</f>
        <v/>
      </c>
      <c r="L75" s="5" t="n"/>
    </row>
    <row r="76">
      <c r="A76" s="5" t="n"/>
      <c r="B76" s="5" t="n"/>
      <c r="C76" s="5" t="n"/>
      <c r="D76" s="5">
        <f>COUNTIFS('Test Cases'!$V:$V,A76,'Test Cases'!$U:$U,B76,'Test Cases'!$W:$W,C76)</f>
        <v/>
      </c>
      <c r="E76" s="5">
        <f>SUM(F76:H76)</f>
        <v/>
      </c>
      <c r="F76" s="5">
        <f>COUNTIFS('Test Cases'!$V:$V,A76,'Test Cases'!$U:$U,B76,'Test Cases'!$W:$W,C76,'Test Cases'!$R:$R,"Passed")</f>
        <v/>
      </c>
      <c r="G76" s="5">
        <f>COUNTIFS('Test Cases'!$V:$V,A76,'Test Cases'!$U:$U,B76,'Test Cases'!$W:$W,C76,'Test Cases'!$R:$R,"Failed")</f>
        <v/>
      </c>
      <c r="H76" s="5">
        <f>COUNTIFS('Test Cases'!$V:$V,A76,'Test Cases'!$U:$U,B76,'Test Cases'!$W:$W,C76,'Test Cases'!$R:$R,"Blocked")</f>
        <v/>
      </c>
      <c r="I76" s="6">
        <f>IFERROR(F76/E76,0)</f>
        <v/>
      </c>
      <c r="J76" s="5">
        <f>COUNTIF('Defect Log'!$M:$M,A76)</f>
        <v/>
      </c>
      <c r="K76" s="5">
        <f>COUNTIFS('Defect Log'!$C:$C,"Critical",'Defect Log'!$E:$E,"&lt;&gt;Closed")+COUNTIFS('Defect Log'!$C:$C,"High",'Defect Log'!$E:$E,"&lt;&gt;Closed")</f>
        <v/>
      </c>
      <c r="L76" s="5" t="n"/>
    </row>
    <row r="77">
      <c r="A77" s="5" t="n"/>
      <c r="B77" s="5" t="n"/>
      <c r="C77" s="5" t="n"/>
      <c r="D77" s="5">
        <f>COUNTIFS('Test Cases'!$V:$V,A77,'Test Cases'!$U:$U,B77,'Test Cases'!$W:$W,C77)</f>
        <v/>
      </c>
      <c r="E77" s="5">
        <f>SUM(F77:H77)</f>
        <v/>
      </c>
      <c r="F77" s="5">
        <f>COUNTIFS('Test Cases'!$V:$V,A77,'Test Cases'!$U:$U,B77,'Test Cases'!$W:$W,C77,'Test Cases'!$R:$R,"Passed")</f>
        <v/>
      </c>
      <c r="G77" s="5">
        <f>COUNTIFS('Test Cases'!$V:$V,A77,'Test Cases'!$U:$U,B77,'Test Cases'!$W:$W,C77,'Test Cases'!$R:$R,"Failed")</f>
        <v/>
      </c>
      <c r="H77" s="5">
        <f>COUNTIFS('Test Cases'!$V:$V,A77,'Test Cases'!$U:$U,B77,'Test Cases'!$W:$W,C77,'Test Cases'!$R:$R,"Blocked")</f>
        <v/>
      </c>
      <c r="I77" s="6">
        <f>IFERROR(F77/E77,0)</f>
        <v/>
      </c>
      <c r="J77" s="5">
        <f>COUNTIF('Defect Log'!$M:$M,A77)</f>
        <v/>
      </c>
      <c r="K77" s="5">
        <f>COUNTIFS('Defect Log'!$C:$C,"Critical",'Defect Log'!$E:$E,"&lt;&gt;Closed")+COUNTIFS('Defect Log'!$C:$C,"High",'Defect Log'!$E:$E,"&lt;&gt;Closed")</f>
        <v/>
      </c>
      <c r="L77" s="5" t="n"/>
    </row>
    <row r="78">
      <c r="A78" s="5" t="n"/>
      <c r="B78" s="5" t="n"/>
      <c r="C78" s="5" t="n"/>
      <c r="D78" s="5">
        <f>COUNTIFS('Test Cases'!$V:$V,A78,'Test Cases'!$U:$U,B78,'Test Cases'!$W:$W,C78)</f>
        <v/>
      </c>
      <c r="E78" s="5">
        <f>SUM(F78:H78)</f>
        <v/>
      </c>
      <c r="F78" s="5">
        <f>COUNTIFS('Test Cases'!$V:$V,A78,'Test Cases'!$U:$U,B78,'Test Cases'!$W:$W,C78,'Test Cases'!$R:$R,"Passed")</f>
        <v/>
      </c>
      <c r="G78" s="5">
        <f>COUNTIFS('Test Cases'!$V:$V,A78,'Test Cases'!$U:$U,B78,'Test Cases'!$W:$W,C78,'Test Cases'!$R:$R,"Failed")</f>
        <v/>
      </c>
      <c r="H78" s="5">
        <f>COUNTIFS('Test Cases'!$V:$V,A78,'Test Cases'!$U:$U,B78,'Test Cases'!$W:$W,C78,'Test Cases'!$R:$R,"Blocked")</f>
        <v/>
      </c>
      <c r="I78" s="6">
        <f>IFERROR(F78/E78,0)</f>
        <v/>
      </c>
      <c r="J78" s="5">
        <f>COUNTIF('Defect Log'!$M:$M,A78)</f>
        <v/>
      </c>
      <c r="K78" s="5">
        <f>COUNTIFS('Defect Log'!$C:$C,"Critical",'Defect Log'!$E:$E,"&lt;&gt;Closed")+COUNTIFS('Defect Log'!$C:$C,"High",'Defect Log'!$E:$E,"&lt;&gt;Closed")</f>
        <v/>
      </c>
      <c r="L78" s="5" t="n"/>
    </row>
    <row r="79">
      <c r="A79" s="5" t="n"/>
      <c r="B79" s="5" t="n"/>
      <c r="C79" s="5" t="n"/>
      <c r="D79" s="5">
        <f>COUNTIFS('Test Cases'!$V:$V,A79,'Test Cases'!$U:$U,B79,'Test Cases'!$W:$W,C79)</f>
        <v/>
      </c>
      <c r="E79" s="5">
        <f>SUM(F79:H79)</f>
        <v/>
      </c>
      <c r="F79" s="5">
        <f>COUNTIFS('Test Cases'!$V:$V,A79,'Test Cases'!$U:$U,B79,'Test Cases'!$W:$W,C79,'Test Cases'!$R:$R,"Passed")</f>
        <v/>
      </c>
      <c r="G79" s="5">
        <f>COUNTIFS('Test Cases'!$V:$V,A79,'Test Cases'!$U:$U,B79,'Test Cases'!$W:$W,C79,'Test Cases'!$R:$R,"Failed")</f>
        <v/>
      </c>
      <c r="H79" s="5">
        <f>COUNTIFS('Test Cases'!$V:$V,A79,'Test Cases'!$U:$U,B79,'Test Cases'!$W:$W,C79,'Test Cases'!$R:$R,"Blocked")</f>
        <v/>
      </c>
      <c r="I79" s="6">
        <f>IFERROR(F79/E79,0)</f>
        <v/>
      </c>
      <c r="J79" s="5">
        <f>COUNTIF('Defect Log'!$M:$M,A79)</f>
        <v/>
      </c>
      <c r="K79" s="5">
        <f>COUNTIFS('Defect Log'!$C:$C,"Critical",'Defect Log'!$E:$E,"&lt;&gt;Closed")+COUNTIFS('Defect Log'!$C:$C,"High",'Defect Log'!$E:$E,"&lt;&gt;Closed")</f>
        <v/>
      </c>
      <c r="L79" s="5" t="n"/>
    </row>
    <row r="80">
      <c r="A80" s="5" t="n"/>
      <c r="B80" s="5" t="n"/>
      <c r="C80" s="5" t="n"/>
      <c r="D80" s="5">
        <f>COUNTIFS('Test Cases'!$V:$V,A80,'Test Cases'!$U:$U,B80,'Test Cases'!$W:$W,C80)</f>
        <v/>
      </c>
      <c r="E80" s="5">
        <f>SUM(F80:H80)</f>
        <v/>
      </c>
      <c r="F80" s="5">
        <f>COUNTIFS('Test Cases'!$V:$V,A80,'Test Cases'!$U:$U,B80,'Test Cases'!$W:$W,C80,'Test Cases'!$R:$R,"Passed")</f>
        <v/>
      </c>
      <c r="G80" s="5">
        <f>COUNTIFS('Test Cases'!$V:$V,A80,'Test Cases'!$U:$U,B80,'Test Cases'!$W:$W,C80,'Test Cases'!$R:$R,"Failed")</f>
        <v/>
      </c>
      <c r="H80" s="5">
        <f>COUNTIFS('Test Cases'!$V:$V,A80,'Test Cases'!$U:$U,B80,'Test Cases'!$W:$W,C80,'Test Cases'!$R:$R,"Blocked")</f>
        <v/>
      </c>
      <c r="I80" s="6">
        <f>IFERROR(F80/E80,0)</f>
        <v/>
      </c>
      <c r="J80" s="5">
        <f>COUNTIF('Defect Log'!$M:$M,A80)</f>
        <v/>
      </c>
      <c r="K80" s="5">
        <f>COUNTIFS('Defect Log'!$C:$C,"Critical",'Defect Log'!$E:$E,"&lt;&gt;Closed")+COUNTIFS('Defect Log'!$C:$C,"High",'Defect Log'!$E:$E,"&lt;&gt;Closed")</f>
        <v/>
      </c>
      <c r="L80" s="5" t="n"/>
    </row>
    <row r="81">
      <c r="A81" s="5" t="n"/>
      <c r="B81" s="5" t="n"/>
      <c r="C81" s="5" t="n"/>
      <c r="D81" s="5">
        <f>COUNTIFS('Test Cases'!$V:$V,A81,'Test Cases'!$U:$U,B81,'Test Cases'!$W:$W,C81)</f>
        <v/>
      </c>
      <c r="E81" s="5">
        <f>SUM(F81:H81)</f>
        <v/>
      </c>
      <c r="F81" s="5">
        <f>COUNTIFS('Test Cases'!$V:$V,A81,'Test Cases'!$U:$U,B81,'Test Cases'!$W:$W,C81,'Test Cases'!$R:$R,"Passed")</f>
        <v/>
      </c>
      <c r="G81" s="5">
        <f>COUNTIFS('Test Cases'!$V:$V,A81,'Test Cases'!$U:$U,B81,'Test Cases'!$W:$W,C81,'Test Cases'!$R:$R,"Failed")</f>
        <v/>
      </c>
      <c r="H81" s="5">
        <f>COUNTIFS('Test Cases'!$V:$V,A81,'Test Cases'!$U:$U,B81,'Test Cases'!$W:$W,C81,'Test Cases'!$R:$R,"Blocked")</f>
        <v/>
      </c>
      <c r="I81" s="6">
        <f>IFERROR(F81/E81,0)</f>
        <v/>
      </c>
      <c r="J81" s="5">
        <f>COUNTIF('Defect Log'!$M:$M,A81)</f>
        <v/>
      </c>
      <c r="K81" s="5">
        <f>COUNTIFS('Defect Log'!$C:$C,"Critical",'Defect Log'!$E:$E,"&lt;&gt;Closed")+COUNTIFS('Defect Log'!$C:$C,"High",'Defect Log'!$E:$E,"&lt;&gt;Closed")</f>
        <v/>
      </c>
      <c r="L81" s="5" t="n"/>
    </row>
    <row r="82">
      <c r="A82" s="5" t="n"/>
      <c r="B82" s="5" t="n"/>
      <c r="C82" s="5" t="n"/>
      <c r="D82" s="5">
        <f>COUNTIFS('Test Cases'!$V:$V,A82,'Test Cases'!$U:$U,B82,'Test Cases'!$W:$W,C82)</f>
        <v/>
      </c>
      <c r="E82" s="5">
        <f>SUM(F82:H82)</f>
        <v/>
      </c>
      <c r="F82" s="5">
        <f>COUNTIFS('Test Cases'!$V:$V,A82,'Test Cases'!$U:$U,B82,'Test Cases'!$W:$W,C82,'Test Cases'!$R:$R,"Passed")</f>
        <v/>
      </c>
      <c r="G82" s="5">
        <f>COUNTIFS('Test Cases'!$V:$V,A82,'Test Cases'!$U:$U,B82,'Test Cases'!$W:$W,C82,'Test Cases'!$R:$R,"Failed")</f>
        <v/>
      </c>
      <c r="H82" s="5">
        <f>COUNTIFS('Test Cases'!$V:$V,A82,'Test Cases'!$U:$U,B82,'Test Cases'!$W:$W,C82,'Test Cases'!$R:$R,"Blocked")</f>
        <v/>
      </c>
      <c r="I82" s="6">
        <f>IFERROR(F82/E82,0)</f>
        <v/>
      </c>
      <c r="J82" s="5">
        <f>COUNTIF('Defect Log'!$M:$M,A82)</f>
        <v/>
      </c>
      <c r="K82" s="5">
        <f>COUNTIFS('Defect Log'!$C:$C,"Critical",'Defect Log'!$E:$E,"&lt;&gt;Closed")+COUNTIFS('Defect Log'!$C:$C,"High",'Defect Log'!$E:$E,"&lt;&gt;Closed")</f>
        <v/>
      </c>
      <c r="L82" s="5" t="n"/>
    </row>
    <row r="83">
      <c r="A83" s="5" t="n"/>
      <c r="B83" s="5" t="n"/>
      <c r="C83" s="5" t="n"/>
      <c r="D83" s="5">
        <f>COUNTIFS('Test Cases'!$V:$V,A83,'Test Cases'!$U:$U,B83,'Test Cases'!$W:$W,C83)</f>
        <v/>
      </c>
      <c r="E83" s="5">
        <f>SUM(F83:H83)</f>
        <v/>
      </c>
      <c r="F83" s="5">
        <f>COUNTIFS('Test Cases'!$V:$V,A83,'Test Cases'!$U:$U,B83,'Test Cases'!$W:$W,C83,'Test Cases'!$R:$R,"Passed")</f>
        <v/>
      </c>
      <c r="G83" s="5">
        <f>COUNTIFS('Test Cases'!$V:$V,A83,'Test Cases'!$U:$U,B83,'Test Cases'!$W:$W,C83,'Test Cases'!$R:$R,"Failed")</f>
        <v/>
      </c>
      <c r="H83" s="5">
        <f>COUNTIFS('Test Cases'!$V:$V,A83,'Test Cases'!$U:$U,B83,'Test Cases'!$W:$W,C83,'Test Cases'!$R:$R,"Blocked")</f>
        <v/>
      </c>
      <c r="I83" s="6">
        <f>IFERROR(F83/E83,0)</f>
        <v/>
      </c>
      <c r="J83" s="5">
        <f>COUNTIF('Defect Log'!$M:$M,A83)</f>
        <v/>
      </c>
      <c r="K83" s="5">
        <f>COUNTIFS('Defect Log'!$C:$C,"Critical",'Defect Log'!$E:$E,"&lt;&gt;Closed")+COUNTIFS('Defect Log'!$C:$C,"High",'Defect Log'!$E:$E,"&lt;&gt;Closed")</f>
        <v/>
      </c>
      <c r="L83" s="5" t="n"/>
    </row>
    <row r="84">
      <c r="A84" s="5" t="n"/>
      <c r="B84" s="5" t="n"/>
      <c r="C84" s="5" t="n"/>
      <c r="D84" s="5">
        <f>COUNTIFS('Test Cases'!$V:$V,A84,'Test Cases'!$U:$U,B84,'Test Cases'!$W:$W,C84)</f>
        <v/>
      </c>
      <c r="E84" s="5">
        <f>SUM(F84:H84)</f>
        <v/>
      </c>
      <c r="F84" s="5">
        <f>COUNTIFS('Test Cases'!$V:$V,A84,'Test Cases'!$U:$U,B84,'Test Cases'!$W:$W,C84,'Test Cases'!$R:$R,"Passed")</f>
        <v/>
      </c>
      <c r="G84" s="5">
        <f>COUNTIFS('Test Cases'!$V:$V,A84,'Test Cases'!$U:$U,B84,'Test Cases'!$W:$W,C84,'Test Cases'!$R:$R,"Failed")</f>
        <v/>
      </c>
      <c r="H84" s="5">
        <f>COUNTIFS('Test Cases'!$V:$V,A84,'Test Cases'!$U:$U,B84,'Test Cases'!$W:$W,C84,'Test Cases'!$R:$R,"Blocked")</f>
        <v/>
      </c>
      <c r="I84" s="6">
        <f>IFERROR(F84/E84,0)</f>
        <v/>
      </c>
      <c r="J84" s="5">
        <f>COUNTIF('Defect Log'!$M:$M,A84)</f>
        <v/>
      </c>
      <c r="K84" s="5">
        <f>COUNTIFS('Defect Log'!$C:$C,"Critical",'Defect Log'!$E:$E,"&lt;&gt;Closed")+COUNTIFS('Defect Log'!$C:$C,"High",'Defect Log'!$E:$E,"&lt;&gt;Closed")</f>
        <v/>
      </c>
      <c r="L84" s="5" t="n"/>
    </row>
    <row r="85">
      <c r="A85" s="5" t="n"/>
      <c r="B85" s="5" t="n"/>
      <c r="C85" s="5" t="n"/>
      <c r="D85" s="5">
        <f>COUNTIFS('Test Cases'!$V:$V,A85,'Test Cases'!$U:$U,B85,'Test Cases'!$W:$W,C85)</f>
        <v/>
      </c>
      <c r="E85" s="5">
        <f>SUM(F85:H85)</f>
        <v/>
      </c>
      <c r="F85" s="5">
        <f>COUNTIFS('Test Cases'!$V:$V,A85,'Test Cases'!$U:$U,B85,'Test Cases'!$W:$W,C85,'Test Cases'!$R:$R,"Passed")</f>
        <v/>
      </c>
      <c r="G85" s="5">
        <f>COUNTIFS('Test Cases'!$V:$V,A85,'Test Cases'!$U:$U,B85,'Test Cases'!$W:$W,C85,'Test Cases'!$R:$R,"Failed")</f>
        <v/>
      </c>
      <c r="H85" s="5">
        <f>COUNTIFS('Test Cases'!$V:$V,A85,'Test Cases'!$U:$U,B85,'Test Cases'!$W:$W,C85,'Test Cases'!$R:$R,"Blocked")</f>
        <v/>
      </c>
      <c r="I85" s="6">
        <f>IFERROR(F85/E85,0)</f>
        <v/>
      </c>
      <c r="J85" s="5">
        <f>COUNTIF('Defect Log'!$M:$M,A85)</f>
        <v/>
      </c>
      <c r="K85" s="5">
        <f>COUNTIFS('Defect Log'!$C:$C,"Critical",'Defect Log'!$E:$E,"&lt;&gt;Closed")+COUNTIFS('Defect Log'!$C:$C,"High",'Defect Log'!$E:$E,"&lt;&gt;Closed")</f>
        <v/>
      </c>
      <c r="L85" s="5" t="n"/>
    </row>
    <row r="86">
      <c r="A86" s="5" t="n"/>
      <c r="B86" s="5" t="n"/>
      <c r="C86" s="5" t="n"/>
      <c r="D86" s="5">
        <f>COUNTIFS('Test Cases'!$V:$V,A86,'Test Cases'!$U:$U,B86,'Test Cases'!$W:$W,C86)</f>
        <v/>
      </c>
      <c r="E86" s="5">
        <f>SUM(F86:H86)</f>
        <v/>
      </c>
      <c r="F86" s="5">
        <f>COUNTIFS('Test Cases'!$V:$V,A86,'Test Cases'!$U:$U,B86,'Test Cases'!$W:$W,C86,'Test Cases'!$R:$R,"Passed")</f>
        <v/>
      </c>
      <c r="G86" s="5">
        <f>COUNTIFS('Test Cases'!$V:$V,A86,'Test Cases'!$U:$U,B86,'Test Cases'!$W:$W,C86,'Test Cases'!$R:$R,"Failed")</f>
        <v/>
      </c>
      <c r="H86" s="5">
        <f>COUNTIFS('Test Cases'!$V:$V,A86,'Test Cases'!$U:$U,B86,'Test Cases'!$W:$W,C86,'Test Cases'!$R:$R,"Blocked")</f>
        <v/>
      </c>
      <c r="I86" s="6">
        <f>IFERROR(F86/E86,0)</f>
        <v/>
      </c>
      <c r="J86" s="5">
        <f>COUNTIF('Defect Log'!$M:$M,A86)</f>
        <v/>
      </c>
      <c r="K86" s="5">
        <f>COUNTIFS('Defect Log'!$C:$C,"Critical",'Defect Log'!$E:$E,"&lt;&gt;Closed")+COUNTIFS('Defect Log'!$C:$C,"High",'Defect Log'!$E:$E,"&lt;&gt;Closed")</f>
        <v/>
      </c>
      <c r="L86" s="5" t="n"/>
    </row>
    <row r="87">
      <c r="A87" s="5" t="n"/>
      <c r="B87" s="5" t="n"/>
      <c r="C87" s="5" t="n"/>
      <c r="D87" s="5">
        <f>COUNTIFS('Test Cases'!$V:$V,A87,'Test Cases'!$U:$U,B87,'Test Cases'!$W:$W,C87)</f>
        <v/>
      </c>
      <c r="E87" s="5">
        <f>SUM(F87:H87)</f>
        <v/>
      </c>
      <c r="F87" s="5">
        <f>COUNTIFS('Test Cases'!$V:$V,A87,'Test Cases'!$U:$U,B87,'Test Cases'!$W:$W,C87,'Test Cases'!$R:$R,"Passed")</f>
        <v/>
      </c>
      <c r="G87" s="5">
        <f>COUNTIFS('Test Cases'!$V:$V,A87,'Test Cases'!$U:$U,B87,'Test Cases'!$W:$W,C87,'Test Cases'!$R:$R,"Failed")</f>
        <v/>
      </c>
      <c r="H87" s="5">
        <f>COUNTIFS('Test Cases'!$V:$V,A87,'Test Cases'!$U:$U,B87,'Test Cases'!$W:$W,C87,'Test Cases'!$R:$R,"Blocked")</f>
        <v/>
      </c>
      <c r="I87" s="6">
        <f>IFERROR(F87/E87,0)</f>
        <v/>
      </c>
      <c r="J87" s="5">
        <f>COUNTIF('Defect Log'!$M:$M,A87)</f>
        <v/>
      </c>
      <c r="K87" s="5">
        <f>COUNTIFS('Defect Log'!$C:$C,"Critical",'Defect Log'!$E:$E,"&lt;&gt;Closed")+COUNTIFS('Defect Log'!$C:$C,"High",'Defect Log'!$E:$E,"&lt;&gt;Closed")</f>
        <v/>
      </c>
      <c r="L87" s="5" t="n"/>
    </row>
    <row r="88">
      <c r="A88" s="5" t="n"/>
      <c r="B88" s="5" t="n"/>
      <c r="C88" s="5" t="n"/>
      <c r="D88" s="5">
        <f>COUNTIFS('Test Cases'!$V:$V,A88,'Test Cases'!$U:$U,B88,'Test Cases'!$W:$W,C88)</f>
        <v/>
      </c>
      <c r="E88" s="5">
        <f>SUM(F88:H88)</f>
        <v/>
      </c>
      <c r="F88" s="5">
        <f>COUNTIFS('Test Cases'!$V:$V,A88,'Test Cases'!$U:$U,B88,'Test Cases'!$W:$W,C88,'Test Cases'!$R:$R,"Passed")</f>
        <v/>
      </c>
      <c r="G88" s="5">
        <f>COUNTIFS('Test Cases'!$V:$V,A88,'Test Cases'!$U:$U,B88,'Test Cases'!$W:$W,C88,'Test Cases'!$R:$R,"Failed")</f>
        <v/>
      </c>
      <c r="H88" s="5">
        <f>COUNTIFS('Test Cases'!$V:$V,A88,'Test Cases'!$U:$U,B88,'Test Cases'!$W:$W,C88,'Test Cases'!$R:$R,"Blocked")</f>
        <v/>
      </c>
      <c r="I88" s="6">
        <f>IFERROR(F88/E88,0)</f>
        <v/>
      </c>
      <c r="J88" s="5">
        <f>COUNTIF('Defect Log'!$M:$M,A88)</f>
        <v/>
      </c>
      <c r="K88" s="5">
        <f>COUNTIFS('Defect Log'!$C:$C,"Critical",'Defect Log'!$E:$E,"&lt;&gt;Closed")+COUNTIFS('Defect Log'!$C:$C,"High",'Defect Log'!$E:$E,"&lt;&gt;Closed")</f>
        <v/>
      </c>
      <c r="L88" s="5" t="n"/>
    </row>
    <row r="89">
      <c r="A89" s="5" t="n"/>
      <c r="B89" s="5" t="n"/>
      <c r="C89" s="5" t="n"/>
      <c r="D89" s="5">
        <f>COUNTIFS('Test Cases'!$V:$V,A89,'Test Cases'!$U:$U,B89,'Test Cases'!$W:$W,C89)</f>
        <v/>
      </c>
      <c r="E89" s="5">
        <f>SUM(F89:H89)</f>
        <v/>
      </c>
      <c r="F89" s="5">
        <f>COUNTIFS('Test Cases'!$V:$V,A89,'Test Cases'!$U:$U,B89,'Test Cases'!$W:$W,C89,'Test Cases'!$R:$R,"Passed")</f>
        <v/>
      </c>
      <c r="G89" s="5">
        <f>COUNTIFS('Test Cases'!$V:$V,A89,'Test Cases'!$U:$U,B89,'Test Cases'!$W:$W,C89,'Test Cases'!$R:$R,"Failed")</f>
        <v/>
      </c>
      <c r="H89" s="5">
        <f>COUNTIFS('Test Cases'!$V:$V,A89,'Test Cases'!$U:$U,B89,'Test Cases'!$W:$W,C89,'Test Cases'!$R:$R,"Blocked")</f>
        <v/>
      </c>
      <c r="I89" s="6">
        <f>IFERROR(F89/E89,0)</f>
        <v/>
      </c>
      <c r="J89" s="5">
        <f>COUNTIF('Defect Log'!$M:$M,A89)</f>
        <v/>
      </c>
      <c r="K89" s="5">
        <f>COUNTIFS('Defect Log'!$C:$C,"Critical",'Defect Log'!$E:$E,"&lt;&gt;Closed")+COUNTIFS('Defect Log'!$C:$C,"High",'Defect Log'!$E:$E,"&lt;&gt;Closed")</f>
        <v/>
      </c>
      <c r="L89" s="5" t="n"/>
    </row>
    <row r="90">
      <c r="A90" s="5" t="n"/>
      <c r="B90" s="5" t="n"/>
      <c r="C90" s="5" t="n"/>
      <c r="D90" s="5">
        <f>COUNTIFS('Test Cases'!$V:$V,A90,'Test Cases'!$U:$U,B90,'Test Cases'!$W:$W,C90)</f>
        <v/>
      </c>
      <c r="E90" s="5">
        <f>SUM(F90:H90)</f>
        <v/>
      </c>
      <c r="F90" s="5">
        <f>COUNTIFS('Test Cases'!$V:$V,A90,'Test Cases'!$U:$U,B90,'Test Cases'!$W:$W,C90,'Test Cases'!$R:$R,"Passed")</f>
        <v/>
      </c>
      <c r="G90" s="5">
        <f>COUNTIFS('Test Cases'!$V:$V,A90,'Test Cases'!$U:$U,B90,'Test Cases'!$W:$W,C90,'Test Cases'!$R:$R,"Failed")</f>
        <v/>
      </c>
      <c r="H90" s="5">
        <f>COUNTIFS('Test Cases'!$V:$V,A90,'Test Cases'!$U:$U,B90,'Test Cases'!$W:$W,C90,'Test Cases'!$R:$R,"Blocked")</f>
        <v/>
      </c>
      <c r="I90" s="6">
        <f>IFERROR(F90/E90,0)</f>
        <v/>
      </c>
      <c r="J90" s="5">
        <f>COUNTIF('Defect Log'!$M:$M,A90)</f>
        <v/>
      </c>
      <c r="K90" s="5">
        <f>COUNTIFS('Defect Log'!$C:$C,"Critical",'Defect Log'!$E:$E,"&lt;&gt;Closed")+COUNTIFS('Defect Log'!$C:$C,"High",'Defect Log'!$E:$E,"&lt;&gt;Closed")</f>
        <v/>
      </c>
      <c r="L90" s="5" t="n"/>
    </row>
    <row r="91">
      <c r="A91" s="5" t="n"/>
      <c r="B91" s="5" t="n"/>
      <c r="C91" s="5" t="n"/>
      <c r="D91" s="5">
        <f>COUNTIFS('Test Cases'!$V:$V,A91,'Test Cases'!$U:$U,B91,'Test Cases'!$W:$W,C91)</f>
        <v/>
      </c>
      <c r="E91" s="5">
        <f>SUM(F91:H91)</f>
        <v/>
      </c>
      <c r="F91" s="5">
        <f>COUNTIFS('Test Cases'!$V:$V,A91,'Test Cases'!$U:$U,B91,'Test Cases'!$W:$W,C91,'Test Cases'!$R:$R,"Passed")</f>
        <v/>
      </c>
      <c r="G91" s="5">
        <f>COUNTIFS('Test Cases'!$V:$V,A91,'Test Cases'!$U:$U,B91,'Test Cases'!$W:$W,C91,'Test Cases'!$R:$R,"Failed")</f>
        <v/>
      </c>
      <c r="H91" s="5">
        <f>COUNTIFS('Test Cases'!$V:$V,A91,'Test Cases'!$U:$U,B91,'Test Cases'!$W:$W,C91,'Test Cases'!$R:$R,"Blocked")</f>
        <v/>
      </c>
      <c r="I91" s="6">
        <f>IFERROR(F91/E91,0)</f>
        <v/>
      </c>
      <c r="J91" s="5">
        <f>COUNTIF('Defect Log'!$M:$M,A91)</f>
        <v/>
      </c>
      <c r="K91" s="5">
        <f>COUNTIFS('Defect Log'!$C:$C,"Critical",'Defect Log'!$E:$E,"&lt;&gt;Closed")+COUNTIFS('Defect Log'!$C:$C,"High",'Defect Log'!$E:$E,"&lt;&gt;Closed")</f>
        <v/>
      </c>
      <c r="L91" s="5" t="n"/>
    </row>
    <row r="92">
      <c r="A92" s="5" t="n"/>
      <c r="B92" s="5" t="n"/>
      <c r="C92" s="5" t="n"/>
      <c r="D92" s="5">
        <f>COUNTIFS('Test Cases'!$V:$V,A92,'Test Cases'!$U:$U,B92,'Test Cases'!$W:$W,C92)</f>
        <v/>
      </c>
      <c r="E92" s="5">
        <f>SUM(F92:H92)</f>
        <v/>
      </c>
      <c r="F92" s="5">
        <f>COUNTIFS('Test Cases'!$V:$V,A92,'Test Cases'!$U:$U,B92,'Test Cases'!$W:$W,C92,'Test Cases'!$R:$R,"Passed")</f>
        <v/>
      </c>
      <c r="G92" s="5">
        <f>COUNTIFS('Test Cases'!$V:$V,A92,'Test Cases'!$U:$U,B92,'Test Cases'!$W:$W,C92,'Test Cases'!$R:$R,"Failed")</f>
        <v/>
      </c>
      <c r="H92" s="5">
        <f>COUNTIFS('Test Cases'!$V:$V,A92,'Test Cases'!$U:$U,B92,'Test Cases'!$W:$W,C92,'Test Cases'!$R:$R,"Blocked")</f>
        <v/>
      </c>
      <c r="I92" s="6">
        <f>IFERROR(F92/E92,0)</f>
        <v/>
      </c>
      <c r="J92" s="5">
        <f>COUNTIF('Defect Log'!$M:$M,A92)</f>
        <v/>
      </c>
      <c r="K92" s="5">
        <f>COUNTIFS('Defect Log'!$C:$C,"Critical",'Defect Log'!$E:$E,"&lt;&gt;Closed")+COUNTIFS('Defect Log'!$C:$C,"High",'Defect Log'!$E:$E,"&lt;&gt;Closed")</f>
        <v/>
      </c>
      <c r="L92" s="5" t="n"/>
    </row>
    <row r="93">
      <c r="A93" s="5" t="n"/>
      <c r="B93" s="5" t="n"/>
      <c r="C93" s="5" t="n"/>
      <c r="D93" s="5">
        <f>COUNTIFS('Test Cases'!$V:$V,A93,'Test Cases'!$U:$U,B93,'Test Cases'!$W:$W,C93)</f>
        <v/>
      </c>
      <c r="E93" s="5">
        <f>SUM(F93:H93)</f>
        <v/>
      </c>
      <c r="F93" s="5">
        <f>COUNTIFS('Test Cases'!$V:$V,A93,'Test Cases'!$U:$U,B93,'Test Cases'!$W:$W,C93,'Test Cases'!$R:$R,"Passed")</f>
        <v/>
      </c>
      <c r="G93" s="5">
        <f>COUNTIFS('Test Cases'!$V:$V,A93,'Test Cases'!$U:$U,B93,'Test Cases'!$W:$W,C93,'Test Cases'!$R:$R,"Failed")</f>
        <v/>
      </c>
      <c r="H93" s="5">
        <f>COUNTIFS('Test Cases'!$V:$V,A93,'Test Cases'!$U:$U,B93,'Test Cases'!$W:$W,C93,'Test Cases'!$R:$R,"Blocked")</f>
        <v/>
      </c>
      <c r="I93" s="6">
        <f>IFERROR(F93/E93,0)</f>
        <v/>
      </c>
      <c r="J93" s="5">
        <f>COUNTIF('Defect Log'!$M:$M,A93)</f>
        <v/>
      </c>
      <c r="K93" s="5">
        <f>COUNTIFS('Defect Log'!$C:$C,"Critical",'Defect Log'!$E:$E,"&lt;&gt;Closed")+COUNTIFS('Defect Log'!$C:$C,"High",'Defect Log'!$E:$E,"&lt;&gt;Closed")</f>
        <v/>
      </c>
      <c r="L93" s="5" t="n"/>
    </row>
    <row r="94">
      <c r="A94" s="5" t="n"/>
      <c r="B94" s="5" t="n"/>
      <c r="C94" s="5" t="n"/>
      <c r="D94" s="5">
        <f>COUNTIFS('Test Cases'!$V:$V,A94,'Test Cases'!$U:$U,B94,'Test Cases'!$W:$W,C94)</f>
        <v/>
      </c>
      <c r="E94" s="5">
        <f>SUM(F94:H94)</f>
        <v/>
      </c>
      <c r="F94" s="5">
        <f>COUNTIFS('Test Cases'!$V:$V,A94,'Test Cases'!$U:$U,B94,'Test Cases'!$W:$W,C94,'Test Cases'!$R:$R,"Passed")</f>
        <v/>
      </c>
      <c r="G94" s="5">
        <f>COUNTIFS('Test Cases'!$V:$V,A94,'Test Cases'!$U:$U,B94,'Test Cases'!$W:$W,C94,'Test Cases'!$R:$R,"Failed")</f>
        <v/>
      </c>
      <c r="H94" s="5">
        <f>COUNTIFS('Test Cases'!$V:$V,A94,'Test Cases'!$U:$U,B94,'Test Cases'!$W:$W,C94,'Test Cases'!$R:$R,"Blocked")</f>
        <v/>
      </c>
      <c r="I94" s="6">
        <f>IFERROR(F94/E94,0)</f>
        <v/>
      </c>
      <c r="J94" s="5">
        <f>COUNTIF('Defect Log'!$M:$M,A94)</f>
        <v/>
      </c>
      <c r="K94" s="5">
        <f>COUNTIFS('Defect Log'!$C:$C,"Critical",'Defect Log'!$E:$E,"&lt;&gt;Closed")+COUNTIFS('Defect Log'!$C:$C,"High",'Defect Log'!$E:$E,"&lt;&gt;Closed")</f>
        <v/>
      </c>
      <c r="L94" s="5" t="n"/>
    </row>
    <row r="95">
      <c r="A95" s="5" t="n"/>
      <c r="B95" s="5" t="n"/>
      <c r="C95" s="5" t="n"/>
      <c r="D95" s="5">
        <f>COUNTIFS('Test Cases'!$V:$V,A95,'Test Cases'!$U:$U,B95,'Test Cases'!$W:$W,C95)</f>
        <v/>
      </c>
      <c r="E95" s="5">
        <f>SUM(F95:H95)</f>
        <v/>
      </c>
      <c r="F95" s="5">
        <f>COUNTIFS('Test Cases'!$V:$V,A95,'Test Cases'!$U:$U,B95,'Test Cases'!$W:$W,C95,'Test Cases'!$R:$R,"Passed")</f>
        <v/>
      </c>
      <c r="G95" s="5">
        <f>COUNTIFS('Test Cases'!$V:$V,A95,'Test Cases'!$U:$U,B95,'Test Cases'!$W:$W,C95,'Test Cases'!$R:$R,"Failed")</f>
        <v/>
      </c>
      <c r="H95" s="5">
        <f>COUNTIFS('Test Cases'!$V:$V,A95,'Test Cases'!$U:$U,B95,'Test Cases'!$W:$W,C95,'Test Cases'!$R:$R,"Blocked")</f>
        <v/>
      </c>
      <c r="I95" s="6">
        <f>IFERROR(F95/E95,0)</f>
        <v/>
      </c>
      <c r="J95" s="5">
        <f>COUNTIF('Defect Log'!$M:$M,A95)</f>
        <v/>
      </c>
      <c r="K95" s="5">
        <f>COUNTIFS('Defect Log'!$C:$C,"Critical",'Defect Log'!$E:$E,"&lt;&gt;Closed")+COUNTIFS('Defect Log'!$C:$C,"High",'Defect Log'!$E:$E,"&lt;&gt;Closed")</f>
        <v/>
      </c>
      <c r="L95" s="5" t="n"/>
    </row>
    <row r="96">
      <c r="A96" s="5" t="n"/>
      <c r="B96" s="5" t="n"/>
      <c r="C96" s="5" t="n"/>
      <c r="D96" s="5">
        <f>COUNTIFS('Test Cases'!$V:$V,A96,'Test Cases'!$U:$U,B96,'Test Cases'!$W:$W,C96)</f>
        <v/>
      </c>
      <c r="E96" s="5">
        <f>SUM(F96:H96)</f>
        <v/>
      </c>
      <c r="F96" s="5">
        <f>COUNTIFS('Test Cases'!$V:$V,A96,'Test Cases'!$U:$U,B96,'Test Cases'!$W:$W,C96,'Test Cases'!$R:$R,"Passed")</f>
        <v/>
      </c>
      <c r="G96" s="5">
        <f>COUNTIFS('Test Cases'!$V:$V,A96,'Test Cases'!$U:$U,B96,'Test Cases'!$W:$W,C96,'Test Cases'!$R:$R,"Failed")</f>
        <v/>
      </c>
      <c r="H96" s="5">
        <f>COUNTIFS('Test Cases'!$V:$V,A96,'Test Cases'!$U:$U,B96,'Test Cases'!$W:$W,C96,'Test Cases'!$R:$R,"Blocked")</f>
        <v/>
      </c>
      <c r="I96" s="6">
        <f>IFERROR(F96/E96,0)</f>
        <v/>
      </c>
      <c r="J96" s="5">
        <f>COUNTIF('Defect Log'!$M:$M,A96)</f>
        <v/>
      </c>
      <c r="K96" s="5">
        <f>COUNTIFS('Defect Log'!$C:$C,"Critical",'Defect Log'!$E:$E,"&lt;&gt;Closed")+COUNTIFS('Defect Log'!$C:$C,"High",'Defect Log'!$E:$E,"&lt;&gt;Closed")</f>
        <v/>
      </c>
      <c r="L96" s="5" t="n"/>
    </row>
    <row r="97">
      <c r="A97" s="5" t="n"/>
      <c r="B97" s="5" t="n"/>
      <c r="C97" s="5" t="n"/>
      <c r="D97" s="5">
        <f>COUNTIFS('Test Cases'!$V:$V,A97,'Test Cases'!$U:$U,B97,'Test Cases'!$W:$W,C97)</f>
        <v/>
      </c>
      <c r="E97" s="5">
        <f>SUM(F97:H97)</f>
        <v/>
      </c>
      <c r="F97" s="5">
        <f>COUNTIFS('Test Cases'!$V:$V,A97,'Test Cases'!$U:$U,B97,'Test Cases'!$W:$W,C97,'Test Cases'!$R:$R,"Passed")</f>
        <v/>
      </c>
      <c r="G97" s="5">
        <f>COUNTIFS('Test Cases'!$V:$V,A97,'Test Cases'!$U:$U,B97,'Test Cases'!$W:$W,C97,'Test Cases'!$R:$R,"Failed")</f>
        <v/>
      </c>
      <c r="H97" s="5">
        <f>COUNTIFS('Test Cases'!$V:$V,A97,'Test Cases'!$U:$U,B97,'Test Cases'!$W:$W,C97,'Test Cases'!$R:$R,"Blocked")</f>
        <v/>
      </c>
      <c r="I97" s="6">
        <f>IFERROR(F97/E97,0)</f>
        <v/>
      </c>
      <c r="J97" s="5">
        <f>COUNTIF('Defect Log'!$M:$M,A97)</f>
        <v/>
      </c>
      <c r="K97" s="5">
        <f>COUNTIFS('Defect Log'!$C:$C,"Critical",'Defect Log'!$E:$E,"&lt;&gt;Closed")+COUNTIFS('Defect Log'!$C:$C,"High",'Defect Log'!$E:$E,"&lt;&gt;Closed")</f>
        <v/>
      </c>
      <c r="L97" s="5" t="n"/>
    </row>
    <row r="98">
      <c r="A98" s="5" t="n"/>
      <c r="B98" s="5" t="n"/>
      <c r="C98" s="5" t="n"/>
      <c r="D98" s="5">
        <f>COUNTIFS('Test Cases'!$V:$V,A98,'Test Cases'!$U:$U,B98,'Test Cases'!$W:$W,C98)</f>
        <v/>
      </c>
      <c r="E98" s="5">
        <f>SUM(F98:H98)</f>
        <v/>
      </c>
      <c r="F98" s="5">
        <f>COUNTIFS('Test Cases'!$V:$V,A98,'Test Cases'!$U:$U,B98,'Test Cases'!$W:$W,C98,'Test Cases'!$R:$R,"Passed")</f>
        <v/>
      </c>
      <c r="G98" s="5">
        <f>COUNTIFS('Test Cases'!$V:$V,A98,'Test Cases'!$U:$U,B98,'Test Cases'!$W:$W,C98,'Test Cases'!$R:$R,"Failed")</f>
        <v/>
      </c>
      <c r="H98" s="5">
        <f>COUNTIFS('Test Cases'!$V:$V,A98,'Test Cases'!$U:$U,B98,'Test Cases'!$W:$W,C98,'Test Cases'!$R:$R,"Blocked")</f>
        <v/>
      </c>
      <c r="I98" s="6">
        <f>IFERROR(F98/E98,0)</f>
        <v/>
      </c>
      <c r="J98" s="5">
        <f>COUNTIF('Defect Log'!$M:$M,A98)</f>
        <v/>
      </c>
      <c r="K98" s="5">
        <f>COUNTIFS('Defect Log'!$C:$C,"Critical",'Defect Log'!$E:$E,"&lt;&gt;Closed")+COUNTIFS('Defect Log'!$C:$C,"High",'Defect Log'!$E:$E,"&lt;&gt;Closed")</f>
        <v/>
      </c>
      <c r="L98" s="5" t="n"/>
    </row>
    <row r="99">
      <c r="A99" s="5" t="n"/>
      <c r="B99" s="5" t="n"/>
      <c r="C99" s="5" t="n"/>
      <c r="D99" s="5">
        <f>COUNTIFS('Test Cases'!$V:$V,A99,'Test Cases'!$U:$U,B99,'Test Cases'!$W:$W,C99)</f>
        <v/>
      </c>
      <c r="E99" s="5">
        <f>SUM(F99:H99)</f>
        <v/>
      </c>
      <c r="F99" s="5">
        <f>COUNTIFS('Test Cases'!$V:$V,A99,'Test Cases'!$U:$U,B99,'Test Cases'!$W:$W,C99,'Test Cases'!$R:$R,"Passed")</f>
        <v/>
      </c>
      <c r="G99" s="5">
        <f>COUNTIFS('Test Cases'!$V:$V,A99,'Test Cases'!$U:$U,B99,'Test Cases'!$W:$W,C99,'Test Cases'!$R:$R,"Failed")</f>
        <v/>
      </c>
      <c r="H99" s="5">
        <f>COUNTIFS('Test Cases'!$V:$V,A99,'Test Cases'!$U:$U,B99,'Test Cases'!$W:$W,C99,'Test Cases'!$R:$R,"Blocked")</f>
        <v/>
      </c>
      <c r="I99" s="6">
        <f>IFERROR(F99/E99,0)</f>
        <v/>
      </c>
      <c r="J99" s="5">
        <f>COUNTIF('Defect Log'!$M:$M,A99)</f>
        <v/>
      </c>
      <c r="K99" s="5">
        <f>COUNTIFS('Defect Log'!$C:$C,"Critical",'Defect Log'!$E:$E,"&lt;&gt;Closed")+COUNTIFS('Defect Log'!$C:$C,"High",'Defect Log'!$E:$E,"&lt;&gt;Closed")</f>
        <v/>
      </c>
      <c r="L99" s="5" t="n"/>
    </row>
    <row r="100">
      <c r="A100" s="5" t="n"/>
      <c r="B100" s="5" t="n"/>
      <c r="C100" s="5" t="n"/>
      <c r="D100" s="5">
        <f>COUNTIFS('Test Cases'!$V:$V,A100,'Test Cases'!$U:$U,B100,'Test Cases'!$W:$W,C100)</f>
        <v/>
      </c>
      <c r="E100" s="5">
        <f>SUM(F100:H100)</f>
        <v/>
      </c>
      <c r="F100" s="5">
        <f>COUNTIFS('Test Cases'!$V:$V,A100,'Test Cases'!$U:$U,B100,'Test Cases'!$W:$W,C100,'Test Cases'!$R:$R,"Passed")</f>
        <v/>
      </c>
      <c r="G100" s="5">
        <f>COUNTIFS('Test Cases'!$V:$V,A100,'Test Cases'!$U:$U,B100,'Test Cases'!$W:$W,C100,'Test Cases'!$R:$R,"Failed")</f>
        <v/>
      </c>
      <c r="H100" s="5">
        <f>COUNTIFS('Test Cases'!$V:$V,A100,'Test Cases'!$U:$U,B100,'Test Cases'!$W:$W,C100,'Test Cases'!$R:$R,"Blocked")</f>
        <v/>
      </c>
      <c r="I100" s="6">
        <f>IFERROR(F100/E100,0)</f>
        <v/>
      </c>
      <c r="J100" s="5">
        <f>COUNTIF('Defect Log'!$M:$M,A100)</f>
        <v/>
      </c>
      <c r="K100" s="5">
        <f>COUNTIFS('Defect Log'!$C:$C,"Critical",'Defect Log'!$E:$E,"&lt;&gt;Closed")+COUNTIFS('Defect Log'!$C:$C,"High",'Defect Log'!$E:$E,"&lt;&gt;Closed")</f>
        <v/>
      </c>
      <c r="L100" s="5" t="n"/>
    </row>
    <row r="101">
      <c r="A101" s="5" t="n"/>
      <c r="B101" s="5" t="n"/>
      <c r="C101" s="5" t="n"/>
      <c r="D101" s="5">
        <f>COUNTIFS('Test Cases'!$V:$V,A101,'Test Cases'!$U:$U,B101,'Test Cases'!$W:$W,C101)</f>
        <v/>
      </c>
      <c r="E101" s="5">
        <f>SUM(F101:H101)</f>
        <v/>
      </c>
      <c r="F101" s="5">
        <f>COUNTIFS('Test Cases'!$V:$V,A101,'Test Cases'!$U:$U,B101,'Test Cases'!$W:$W,C101,'Test Cases'!$R:$R,"Passed")</f>
        <v/>
      </c>
      <c r="G101" s="5">
        <f>COUNTIFS('Test Cases'!$V:$V,A101,'Test Cases'!$U:$U,B101,'Test Cases'!$W:$W,C101,'Test Cases'!$R:$R,"Failed")</f>
        <v/>
      </c>
      <c r="H101" s="5">
        <f>COUNTIFS('Test Cases'!$V:$V,A101,'Test Cases'!$U:$U,B101,'Test Cases'!$W:$W,C101,'Test Cases'!$R:$R,"Blocked")</f>
        <v/>
      </c>
      <c r="I101" s="6">
        <f>IFERROR(F101/E101,0)</f>
        <v/>
      </c>
      <c r="J101" s="5">
        <f>COUNTIF('Defect Log'!$M:$M,A101)</f>
        <v/>
      </c>
      <c r="K101" s="5">
        <f>COUNTIFS('Defect Log'!$C:$C,"Critical",'Defect Log'!$E:$E,"&lt;&gt;Closed")+COUNTIFS('Defect Log'!$C:$C,"High",'Defect Log'!$E:$E,"&lt;&gt;Closed")</f>
        <v/>
      </c>
      <c r="L101" s="5" t="n"/>
    </row>
    <row r="102">
      <c r="A102" s="5" t="n"/>
      <c r="B102" s="5" t="n"/>
      <c r="C102" s="5" t="n"/>
      <c r="D102" s="5">
        <f>COUNTIFS('Test Cases'!$V:$V,A102,'Test Cases'!$U:$U,B102,'Test Cases'!$W:$W,C102)</f>
        <v/>
      </c>
      <c r="E102" s="5">
        <f>SUM(F102:H102)</f>
        <v/>
      </c>
      <c r="F102" s="5">
        <f>COUNTIFS('Test Cases'!$V:$V,A102,'Test Cases'!$U:$U,B102,'Test Cases'!$W:$W,C102,'Test Cases'!$R:$R,"Passed")</f>
        <v/>
      </c>
      <c r="G102" s="5">
        <f>COUNTIFS('Test Cases'!$V:$V,A102,'Test Cases'!$U:$U,B102,'Test Cases'!$W:$W,C102,'Test Cases'!$R:$R,"Failed")</f>
        <v/>
      </c>
      <c r="H102" s="5">
        <f>COUNTIFS('Test Cases'!$V:$V,A102,'Test Cases'!$U:$U,B102,'Test Cases'!$W:$W,C102,'Test Cases'!$R:$R,"Blocked")</f>
        <v/>
      </c>
      <c r="I102" s="6">
        <f>IFERROR(F102/E102,0)</f>
        <v/>
      </c>
      <c r="J102" s="5">
        <f>COUNTIF('Defect Log'!$M:$M,A102)</f>
        <v/>
      </c>
      <c r="K102" s="5">
        <f>COUNTIFS('Defect Log'!$C:$C,"Critical",'Defect Log'!$E:$E,"&lt;&gt;Closed")+COUNTIFS('Defect Log'!$C:$C,"High",'Defect Log'!$E:$E,"&lt;&gt;Closed")</f>
        <v/>
      </c>
      <c r="L102" s="5" t="n"/>
    </row>
    <row r="103">
      <c r="A103" s="5" t="n"/>
      <c r="B103" s="5" t="n"/>
      <c r="C103" s="5" t="n"/>
      <c r="D103" s="5">
        <f>COUNTIFS('Test Cases'!$V:$V,A103,'Test Cases'!$U:$U,B103,'Test Cases'!$W:$W,C103)</f>
        <v/>
      </c>
      <c r="E103" s="5">
        <f>SUM(F103:H103)</f>
        <v/>
      </c>
      <c r="F103" s="5">
        <f>COUNTIFS('Test Cases'!$V:$V,A103,'Test Cases'!$U:$U,B103,'Test Cases'!$W:$W,C103,'Test Cases'!$R:$R,"Passed")</f>
        <v/>
      </c>
      <c r="G103" s="5">
        <f>COUNTIFS('Test Cases'!$V:$V,A103,'Test Cases'!$U:$U,B103,'Test Cases'!$W:$W,C103,'Test Cases'!$R:$R,"Failed")</f>
        <v/>
      </c>
      <c r="H103" s="5">
        <f>COUNTIFS('Test Cases'!$V:$V,A103,'Test Cases'!$U:$U,B103,'Test Cases'!$W:$W,C103,'Test Cases'!$R:$R,"Blocked")</f>
        <v/>
      </c>
      <c r="I103" s="6">
        <f>IFERROR(F103/E103,0)</f>
        <v/>
      </c>
      <c r="J103" s="5">
        <f>COUNTIF('Defect Log'!$M:$M,A103)</f>
        <v/>
      </c>
      <c r="K103" s="5">
        <f>COUNTIFS('Defect Log'!$C:$C,"Critical",'Defect Log'!$E:$E,"&lt;&gt;Closed")+COUNTIFS('Defect Log'!$C:$C,"High",'Defect Log'!$E:$E,"&lt;&gt;Closed")</f>
        <v/>
      </c>
      <c r="L103" s="5" t="n"/>
    </row>
    <row r="104">
      <c r="A104" s="5" t="n"/>
      <c r="B104" s="5" t="n"/>
      <c r="C104" s="5" t="n"/>
      <c r="D104" s="5">
        <f>COUNTIFS('Test Cases'!$V:$V,A104,'Test Cases'!$U:$U,B104,'Test Cases'!$W:$W,C104)</f>
        <v/>
      </c>
      <c r="E104" s="5">
        <f>SUM(F104:H104)</f>
        <v/>
      </c>
      <c r="F104" s="5">
        <f>COUNTIFS('Test Cases'!$V:$V,A104,'Test Cases'!$U:$U,B104,'Test Cases'!$W:$W,C104,'Test Cases'!$R:$R,"Passed")</f>
        <v/>
      </c>
      <c r="G104" s="5">
        <f>COUNTIFS('Test Cases'!$V:$V,A104,'Test Cases'!$U:$U,B104,'Test Cases'!$W:$W,C104,'Test Cases'!$R:$R,"Failed")</f>
        <v/>
      </c>
      <c r="H104" s="5">
        <f>COUNTIFS('Test Cases'!$V:$V,A104,'Test Cases'!$U:$U,B104,'Test Cases'!$W:$W,C104,'Test Cases'!$R:$R,"Blocked")</f>
        <v/>
      </c>
      <c r="I104" s="6">
        <f>IFERROR(F104/E104,0)</f>
        <v/>
      </c>
      <c r="J104" s="5">
        <f>COUNTIF('Defect Log'!$M:$M,A104)</f>
        <v/>
      </c>
      <c r="K104" s="5">
        <f>COUNTIFS('Defect Log'!$C:$C,"Critical",'Defect Log'!$E:$E,"&lt;&gt;Closed")+COUNTIFS('Defect Log'!$C:$C,"High",'Defect Log'!$E:$E,"&lt;&gt;Closed")</f>
        <v/>
      </c>
      <c r="L104" s="5" t="n"/>
    </row>
  </sheetData>
  <mergeCells count="2">
    <mergeCell ref="A2:L2"/>
    <mergeCell ref="A1:L1"/>
  </mergeCells>
  <pageMargins left="0.3" right="0.3" top="0.5" bottom="0.5" header="0.2" footer="0.2"/>
  <pageSetup orientation="landscape" fitToHeight="0" fitToWidth="1"/>
  <headerFooter>
    <oddHeader/>
    <oddFooter>&amp;CJima — CARAVAN Lounge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0"/>
  <sheetViews>
    <sheetView showGridLines="0" workbookViewId="0">
      <pane ySplit="4" topLeftCell="A5" activePane="bottomLeft" state="frozen"/>
      <selection pane="bottomLeft" activeCell="A1" sqref="A1"/>
    </sheetView>
  </sheetViews>
  <sheetFormatPr baseColWidth="8" defaultRowHeight="15"/>
  <cols>
    <col width="24" customWidth="1" min="1" max="1"/>
    <col width="28" customWidth="1" min="2" max="2"/>
    <col width="24" customWidth="1" min="3" max="3"/>
    <col width="52" customWidth="1" min="4" max="4"/>
    <col width="28" customWidth="1" min="5" max="5"/>
    <col width="34" customWidth="1" min="6" max="6"/>
    <col width="16" customWidth="1" min="7" max="7"/>
    <col width="42" customWidth="1" min="8" max="8"/>
  </cols>
  <sheetData>
    <row r="1">
      <c r="A1" s="1" t="inlineStr">
        <is>
          <t>UAT Sign-off</t>
        </is>
      </c>
    </row>
    <row r="2">
      <c r="A2" s="2" t="inlineStr">
        <is>
          <t>Signatures are valid only after mandatory QA gates pass. Blank or conditional entries do not approve deployment.</t>
        </is>
      </c>
    </row>
    <row r="3"/>
    <row r="4">
      <c r="A4" s="3" t="inlineStr">
        <is>
          <t>Area</t>
        </is>
      </c>
      <c r="B4" s="3" t="inlineStr">
        <is>
          <t>Business representative</t>
        </is>
      </c>
      <c r="C4" s="3" t="inlineStr">
        <is>
          <t>Role</t>
        </is>
      </c>
      <c r="D4" s="3" t="inlineStr">
        <is>
          <t>Acceptance scenario</t>
        </is>
      </c>
      <c r="E4" s="3" t="inlineStr">
        <is>
          <t>Decision</t>
        </is>
      </c>
      <c r="F4" s="3" t="inlineStr">
        <is>
          <t>Signature / controlled reference</t>
        </is>
      </c>
      <c r="G4" s="3" t="inlineStr">
        <is>
          <t>Date</t>
        </is>
      </c>
      <c r="H4" s="3" t="inlineStr">
        <is>
          <t>Comments / conditions</t>
        </is>
      </c>
    </row>
    <row r="5">
      <c r="A5" s="4" t="inlineStr">
        <is>
          <t>Front of house</t>
        </is>
      </c>
      <c r="B5" s="4" t="inlineStr"/>
      <c r="C5" s="4" t="inlineStr">
        <is>
          <t>Waiter/Coordinator/Cashier</t>
        </is>
      </c>
      <c r="D5" s="4" t="inlineStr">
        <is>
          <t>Order → kitchen → serve → payment/table release</t>
        </is>
      </c>
      <c r="E5" s="4" t="inlineStr">
        <is>
          <t>Not Reviewed</t>
        </is>
      </c>
      <c r="F5" s="4" t="inlineStr"/>
      <c r="G5" s="4" t="inlineStr"/>
      <c r="H5" s="4" t="inlineStr"/>
    </row>
    <row r="6">
      <c r="A6" s="4" t="inlineStr">
        <is>
          <t>Kitchen</t>
        </is>
      </c>
      <c r="B6" s="4" t="inlineStr"/>
      <c r="C6" s="4" t="inlineStr">
        <is>
          <t>Chef lead</t>
        </is>
      </c>
      <c r="D6" s="4" t="inlineStr">
        <is>
          <t>Assigned queue and ready flow</t>
        </is>
      </c>
      <c r="E6" s="4" t="inlineStr">
        <is>
          <t>Not Reviewed</t>
        </is>
      </c>
      <c r="F6" s="4" t="inlineStr"/>
      <c r="G6" s="4" t="inlineStr"/>
      <c r="H6" s="4" t="inlineStr"/>
    </row>
    <row r="7">
      <c r="A7" s="4" t="inlineStr">
        <is>
          <t>Branch store</t>
        </is>
      </c>
      <c r="B7" s="4" t="inlineStr"/>
      <c r="C7" s="4" t="inlineStr">
        <is>
          <t>Branch Storekeeper/Manager</t>
        </is>
      </c>
      <c r="D7" s="4" t="inlineStr">
        <is>
          <t>Inventory, legacy Item Request, Branch Stock Request/decision</t>
        </is>
      </c>
      <c r="E7" s="4" t="inlineStr">
        <is>
          <t>Not Reviewed</t>
        </is>
      </c>
      <c r="F7" s="4" t="inlineStr"/>
      <c r="G7" s="4" t="inlineStr"/>
      <c r="H7" s="4" t="inlineStr"/>
    </row>
    <row r="8">
      <c r="A8" s="4" t="inlineStr">
        <is>
          <t>Main Store</t>
        </is>
      </c>
      <c r="B8" s="4" t="inlineStr"/>
      <c r="C8" s="4" t="inlineStr">
        <is>
          <t>Main Store Storekeeper</t>
        </is>
      </c>
      <c r="D8" s="4" t="inlineStr">
        <is>
          <t>Receipt and approved atomic fulfillment</t>
        </is>
      </c>
      <c r="E8" s="4" t="inlineStr">
        <is>
          <t>Not Reviewed</t>
        </is>
      </c>
      <c r="F8" s="4" t="inlineStr"/>
      <c r="G8" s="4" t="inlineStr"/>
      <c r="H8" s="4" t="inlineStr"/>
    </row>
    <row r="9">
      <c r="A9" s="4" t="inlineStr">
        <is>
          <t>Management</t>
        </is>
      </c>
      <c r="B9" s="4" t="inlineStr"/>
      <c r="C9" s="4" t="inlineStr">
        <is>
          <t>Owner/Manager</t>
        </is>
      </c>
      <c r="D9" s="4" t="inlineStr">
        <is>
          <t>Dashboard, staff, branches, reports and exports</t>
        </is>
      </c>
      <c r="E9" s="4" t="inlineStr">
        <is>
          <t>Not Reviewed</t>
        </is>
      </c>
      <c r="F9" s="4" t="inlineStr"/>
      <c r="G9" s="4" t="inlineStr"/>
      <c r="H9" s="4" t="inlineStr"/>
    </row>
    <row r="10">
      <c r="A10" s="4" t="inlineStr">
        <is>
          <t>Final business approval</t>
        </is>
      </c>
      <c r="B10" s="4" t="inlineStr"/>
      <c r="C10" s="4" t="inlineStr">
        <is>
          <t>Product Owner</t>
        </is>
      </c>
      <c r="D10" s="4" t="inlineStr">
        <is>
          <t>All accepted UAT scenarios and residual risks</t>
        </is>
      </c>
      <c r="E10" s="4" t="inlineStr">
        <is>
          <t>Not Reviewed</t>
        </is>
      </c>
      <c r="F10" s="4" t="inlineStr"/>
      <c r="G10" s="4" t="inlineStr"/>
      <c r="H10" s="4" t="inlineStr"/>
    </row>
  </sheetData>
  <autoFilter ref="A4:H10"/>
  <mergeCells count="2">
    <mergeCell ref="A2:H2"/>
    <mergeCell ref="A1:H1"/>
  </mergeCells>
  <dataValidations count="1">
    <dataValidation sqref="E5:E100" showDropDown="0" showInputMessage="0" showErrorMessage="0" allowBlank="0" type="list">
      <formula1>"Not Reviewed,Accepted,Rejected,Accepted with Approved Conditions"</formula1>
    </dataValidation>
  </dataValidations>
  <pageMargins left="0.3" right="0.3" top="0.5" bottom="0.5" header="0.2" footer="0.2"/>
  <pageSetup orientation="landscape" fitToHeight="0" fitToWidth="1"/>
  <headerFooter>
    <oddHeader/>
    <oddFooter>&amp;CJima — CARAVAN Lounge |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18"/>
  <sheetViews>
    <sheetView showGridLines="0" workbookViewId="0">
      <pane ySplit="4" topLeftCell="A5" activePane="bottomLeft" state="frozen"/>
      <selection pane="bottomLeft" activeCell="A1" sqref="A1"/>
    </sheetView>
  </sheetViews>
  <sheetFormatPr baseColWidth="8" defaultRowHeight="15"/>
  <cols>
    <col width="14" customWidth="1" min="1" max="1"/>
    <col width="70" customWidth="1" min="2" max="2"/>
    <col width="24" customWidth="1" min="3" max="3"/>
    <col width="28" customWidth="1" min="4" max="4"/>
    <col width="42" customWidth="1" min="5" max="5"/>
    <col width="24" customWidth="1" min="6" max="6"/>
    <col width="16" customWidth="1" min="7" max="7"/>
    <col width="42" customWidth="1" min="8" max="8"/>
  </cols>
  <sheetData>
    <row r="1">
      <c r="A1" s="1" t="inlineStr">
        <is>
          <t>Release Gate Checklist</t>
        </is>
      </c>
    </row>
    <row r="2">
      <c r="A2" s="2" t="inlineStr">
        <is>
          <t>Production deployment is blocked until every mandatory gate is Passed and no unresolved Critical/High defect remains.</t>
        </is>
      </c>
    </row>
    <row r="3"/>
    <row r="4">
      <c r="A4" s="3" t="inlineStr">
        <is>
          <t>Gate ID</t>
        </is>
      </c>
      <c r="B4" s="3" t="inlineStr">
        <is>
          <t>Mandatory control</t>
        </is>
      </c>
      <c r="C4" s="3" t="inlineStr">
        <is>
          <t>Owner</t>
        </is>
      </c>
      <c r="D4" s="3" t="inlineStr">
        <is>
          <t>Status</t>
        </is>
      </c>
      <c r="E4" s="3" t="inlineStr">
        <is>
          <t>Evidence reference</t>
        </is>
      </c>
      <c r="F4" s="3" t="inlineStr">
        <is>
          <t>Reviewer</t>
        </is>
      </c>
      <c r="G4" s="3" t="inlineStr">
        <is>
          <t>Review date</t>
        </is>
      </c>
      <c r="H4" s="3" t="inlineStr">
        <is>
          <t>Blocker / notes</t>
        </is>
      </c>
    </row>
    <row r="5">
      <c r="A5" s="4" t="inlineStr">
        <is>
          <t>RG-01</t>
        </is>
      </c>
      <c r="B5" s="4" t="inlineStr">
        <is>
          <t>All mandatory Critical and High-priority tests passed</t>
        </is>
      </c>
      <c r="C5" s="4" t="inlineStr">
        <is>
          <t>QA Lead</t>
        </is>
      </c>
      <c r="D5" s="4" t="inlineStr">
        <is>
          <t>Not Run</t>
        </is>
      </c>
      <c r="E5" s="4" t="inlineStr"/>
      <c r="F5" s="4" t="inlineStr"/>
      <c r="G5" s="4" t="inlineStr"/>
      <c r="H5" s="4" t="inlineStr"/>
    </row>
    <row r="6">
      <c r="A6" s="4" t="inlineStr">
        <is>
          <t>RG-02</t>
        </is>
      </c>
      <c r="B6" s="4" t="inlineStr">
        <is>
          <t>No unresolved Critical or High defect</t>
        </is>
      </c>
      <c r="C6" s="4" t="inlineStr">
        <is>
          <t>QA Lead</t>
        </is>
      </c>
      <c r="D6" s="4" t="inlineStr">
        <is>
          <t>Not Run</t>
        </is>
      </c>
      <c r="E6" s="4" t="inlineStr"/>
      <c r="F6" s="4" t="inlineStr"/>
      <c r="G6" s="4" t="inlineStr"/>
      <c r="H6" s="4" t="inlineStr"/>
    </row>
    <row r="7">
      <c r="A7" s="4" t="inlineStr">
        <is>
          <t>RG-03</t>
        </is>
      </c>
      <c r="B7" s="4" t="inlineStr">
        <is>
          <t>Authentication hardening: mandatory JWT secret; no fallback or startup account mutation</t>
        </is>
      </c>
      <c r="C7" s="4" t="inlineStr">
        <is>
          <t>Security/Engineering</t>
        </is>
      </c>
      <c r="D7" s="4" t="inlineStr">
        <is>
          <t>Not Run</t>
        </is>
      </c>
      <c r="E7" s="4" t="inlineStr"/>
      <c r="F7" s="4" t="inlineStr"/>
      <c r="G7" s="4" t="inlineStr"/>
      <c r="H7" s="4" t="inlineStr"/>
    </row>
    <row r="8">
      <c r="A8" s="4" t="inlineStr">
        <is>
          <t>RG-04</t>
        </is>
      </c>
      <c r="B8" s="4" t="inlineStr">
        <is>
          <t>Authorization and branch/restaurant isolation matrix passed</t>
        </is>
      </c>
      <c r="C8" s="4" t="inlineStr">
        <is>
          <t>QA/Security</t>
        </is>
      </c>
      <c r="D8" s="4" t="inlineStr">
        <is>
          <t>Not Run</t>
        </is>
      </c>
      <c r="E8" s="4" t="inlineStr"/>
      <c r="F8" s="4" t="inlineStr"/>
      <c r="G8" s="4" t="inlineStr"/>
      <c r="H8" s="4" t="inlineStr"/>
    </row>
    <row r="9">
      <c r="A9" s="4" t="inlineStr">
        <is>
          <t>RG-05</t>
        </is>
      </c>
      <c r="B9" s="4" t="inlineStr">
        <is>
          <t>DTO validation, safe errors, CORS, Swagger and seed production controls passed</t>
        </is>
      </c>
      <c r="C9" s="4" t="inlineStr">
        <is>
          <t>Security/Engineering</t>
        </is>
      </c>
      <c r="D9" s="4" t="inlineStr">
        <is>
          <t>Not Run</t>
        </is>
      </c>
      <c r="E9" s="4" t="inlineStr"/>
      <c r="F9" s="4" t="inlineStr"/>
      <c r="G9" s="4" t="inlineStr"/>
      <c r="H9" s="4" t="inlineStr"/>
    </row>
    <row r="10">
      <c r="A10" s="4" t="inlineStr">
        <is>
          <t>RG-06</t>
        </is>
      </c>
      <c r="B10" s="4" t="inlineStr">
        <is>
          <t>Payment/table and stock transfer atomicity/concurrency evidence approved</t>
        </is>
      </c>
      <c r="C10" s="4" t="inlineStr">
        <is>
          <t>QA/DBA</t>
        </is>
      </c>
      <c r="D10" s="4" t="inlineStr">
        <is>
          <t>Not Run</t>
        </is>
      </c>
      <c r="E10" s="4" t="inlineStr"/>
      <c r="F10" s="4" t="inlineStr"/>
      <c r="G10" s="4" t="inlineStr"/>
      <c r="H10" s="4" t="inlineStr"/>
    </row>
    <row r="11">
      <c r="A11" s="4" t="inlineStr">
        <is>
          <t>RG-07</t>
        </is>
      </c>
      <c r="B11" s="4" t="inlineStr">
        <is>
          <t>Production synchronize disabled; migration baseline reviewed and rehearsed</t>
        </is>
      </c>
      <c r="C11" s="4" t="inlineStr">
        <is>
          <t>DBA</t>
        </is>
      </c>
      <c r="D11" s="4" t="inlineStr">
        <is>
          <t>Not Run</t>
        </is>
      </c>
      <c r="E11" s="4" t="inlineStr"/>
      <c r="F11" s="4" t="inlineStr"/>
      <c r="G11" s="4" t="inlineStr"/>
      <c r="H11" s="4" t="inlineStr"/>
    </row>
    <row r="12">
      <c r="A12" s="4" t="inlineStr">
        <is>
          <t>RG-08</t>
        </is>
      </c>
      <c r="B12" s="4" t="inlineStr">
        <is>
          <t>Backup restore and rollback successfully rehearsed</t>
        </is>
      </c>
      <c r="C12" s="4" t="inlineStr">
        <is>
          <t>DBA/Release</t>
        </is>
      </c>
      <c r="D12" s="4" t="inlineStr">
        <is>
          <t>Not Run</t>
        </is>
      </c>
      <c r="E12" s="4" t="inlineStr"/>
      <c r="F12" s="4" t="inlineStr"/>
      <c r="G12" s="4" t="inlineStr"/>
      <c r="H12" s="4" t="inlineStr"/>
    </row>
    <row r="13">
      <c r="A13" s="4" t="inlineStr">
        <is>
          <t>RG-09</t>
        </is>
      </c>
      <c r="B13" s="4" t="inlineStr">
        <is>
          <t>Dependency/static/security findings resolved; no Critical/High remains</t>
        </is>
      </c>
      <c r="C13" s="4" t="inlineStr">
        <is>
          <t>Security</t>
        </is>
      </c>
      <c r="D13" s="4" t="inlineStr">
        <is>
          <t>Not Run</t>
        </is>
      </c>
      <c r="E13" s="4" t="inlineStr"/>
      <c r="F13" s="4" t="inlineStr"/>
      <c r="G13" s="4" t="inlineStr"/>
      <c r="H13" s="4" t="inlineStr"/>
    </row>
    <row r="14">
      <c r="A14" s="4" t="inlineStr">
        <is>
          <t>RG-10</t>
        </is>
      </c>
      <c r="B14" s="4" t="inlineStr">
        <is>
          <t>Performance, accessibility and browser acceptance met</t>
        </is>
      </c>
      <c r="C14" s="4" t="inlineStr">
        <is>
          <t>QA Leads</t>
        </is>
      </c>
      <c r="D14" s="4" t="inlineStr">
        <is>
          <t>Not Run</t>
        </is>
      </c>
      <c r="E14" s="4" t="inlineStr"/>
      <c r="F14" s="4" t="inlineStr"/>
      <c r="G14" s="4" t="inlineStr"/>
      <c r="H14" s="4" t="inlineStr"/>
    </row>
    <row r="15">
      <c r="A15" s="4" t="inlineStr">
        <is>
          <t>RG-11</t>
        </is>
      </c>
      <c r="B15" s="4" t="inlineStr">
        <is>
          <t>Monitoring logging retention alerting and privacy redaction verified</t>
        </is>
      </c>
      <c r="C15" s="4" t="inlineStr">
        <is>
          <t>Operations/Security</t>
        </is>
      </c>
      <c r="D15" s="4" t="inlineStr">
        <is>
          <t>Not Run</t>
        </is>
      </c>
      <c r="E15" s="4" t="inlineStr"/>
      <c r="F15" s="4" t="inlineStr"/>
      <c r="G15" s="4" t="inlineStr"/>
      <c r="H15" s="4" t="inlineStr"/>
    </row>
    <row r="16">
      <c r="A16" s="4" t="inlineStr">
        <is>
          <t>RG-12</t>
        </is>
      </c>
      <c r="B16" s="4" t="inlineStr">
        <is>
          <t>Staging deployment and post-deploy smoke passed</t>
        </is>
      </c>
      <c r="C16" s="4" t="inlineStr">
        <is>
          <t>Release/QA</t>
        </is>
      </c>
      <c r="D16" s="4" t="inlineStr">
        <is>
          <t>Not Run</t>
        </is>
      </c>
      <c r="E16" s="4" t="inlineStr"/>
      <c r="F16" s="4" t="inlineStr"/>
      <c r="G16" s="4" t="inlineStr"/>
      <c r="H16" s="4" t="inlineStr"/>
    </row>
    <row r="17">
      <c r="A17" s="4" t="inlineStr">
        <is>
          <t>RG-13</t>
        </is>
      </c>
      <c r="B17" s="4" t="inlineStr">
        <is>
          <t>UAT accepted and signatures recorded</t>
        </is>
      </c>
      <c r="C17" s="4" t="inlineStr">
        <is>
          <t>Product Owner</t>
        </is>
      </c>
      <c r="D17" s="4" t="inlineStr">
        <is>
          <t>Not Run</t>
        </is>
      </c>
      <c r="E17" s="4" t="inlineStr"/>
      <c r="F17" s="4" t="inlineStr"/>
      <c r="G17" s="4" t="inlineStr"/>
      <c r="H17" s="4" t="inlineStr"/>
    </row>
    <row r="18">
      <c r="A18" s="4" t="inlineStr">
        <is>
          <t>RG-14</t>
        </is>
      </c>
      <c r="B18" s="4" t="inlineStr">
        <is>
          <t>Final Go/No-Go authorized</t>
        </is>
      </c>
      <c r="C18" s="4" t="inlineStr">
        <is>
          <t>Release Owner</t>
        </is>
      </c>
      <c r="D18" s="4" t="inlineStr">
        <is>
          <t>Not Run</t>
        </is>
      </c>
      <c r="E18" s="4" t="inlineStr"/>
      <c r="F18" s="4" t="inlineStr"/>
      <c r="G18" s="4" t="inlineStr"/>
      <c r="H18" s="4" t="inlineStr"/>
    </row>
  </sheetData>
  <autoFilter ref="A4:H18"/>
  <mergeCells count="2">
    <mergeCell ref="A2:H2"/>
    <mergeCell ref="A1:H1"/>
  </mergeCells>
  <conditionalFormatting sqref="D5:D100">
    <cfRule type="expression" priority="1" dxfId="1">
      <formula>D5="Passed"</formula>
    </cfRule>
    <cfRule type="expression" priority="2" dxfId="0">
      <formula>OR(D5="Failed",D5="Blocked",D5="Not Run")</formula>
    </cfRule>
  </conditionalFormatting>
  <dataValidations count="1">
    <dataValidation sqref="D5:D100" showDropDown="0" showInputMessage="0" showErrorMessage="0" allowBlank="0" type="list">
      <formula1>"Not Run,In Progress,Passed,Failed,Blocked,Waived by Formal Risk Acceptance"</formula1>
    </dataValidation>
  </dataValidations>
  <pageMargins left="0.3" right="0.3" top="0.5" bottom="0.5" header="0.2" footer="0.2"/>
  <pageSetup orientation="landscape" fitToHeight="0" fitToWidth="1"/>
  <headerFooter>
    <oddHeader/>
    <oddFooter>&amp;CJima — CARAVAN Lounge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2026-08-30T19:07:57Z</dcterms:created>
  <dcterms:modified xsi:type="dcterms:W3CDTF">2026-08-30T19:08:52Z</dcterms:modified>
</cp:coreProperties>
</file>